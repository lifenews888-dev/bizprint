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FF22C27-5C20-4F4E-BE72-CC2AAEB5AC97}" xr6:coauthVersionLast="47" xr6:coauthVersionMax="47" xr10:uidLastSave="{00000000-0000-0000-0000-000000000000}"/>
  <bookViews>
    <workbookView xWindow="-120" yWindow="-120" windowWidth="38640" windowHeight="23520" activeTab="5" xr2:uid="{BEB8A97B-C0CB-4E2C-8371-00F8585F6401}"/>
  </bookViews>
  <sheets>
    <sheet name="🔧 Хэвлэл Админ" sheetId="7" r:id="rId1"/>
    <sheet name="🔧 Хаяг Админ" sheetId="8" r:id="rId2"/>
    <sheet name="⚡ Хэвлэл Тооцоолуур" sheetId="9" r:id="rId3"/>
    <sheet name="⚡ Хаяг Тооцоолуур" sheetId="10" r:id="rId4"/>
    <sheet name="📒 Захиалгын Түүх" sheetId="11" r:id="rId5"/>
    <sheet name="📋 Промпт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9" l="1"/>
  <c r="B42" i="9"/>
  <c r="C42" i="9"/>
  <c r="C41" i="9"/>
  <c r="B40" i="9"/>
  <c r="C40" i="9"/>
  <c r="B39" i="9"/>
  <c r="C39" i="9"/>
  <c r="B37" i="9"/>
  <c r="C37" i="9"/>
  <c r="B28" i="9"/>
  <c r="C47" i="9"/>
  <c r="C46" i="9"/>
  <c r="C45" i="9"/>
  <c r="C44" i="9"/>
  <c r="C36" i="9"/>
  <c r="B32" i="9"/>
  <c r="B51" i="9" s="1"/>
  <c r="B31" i="9"/>
  <c r="B30" i="9"/>
  <c r="B29" i="9"/>
  <c r="B26" i="9"/>
  <c r="B24" i="9"/>
  <c r="C46" i="10"/>
  <c r="C44" i="10"/>
  <c r="C43" i="10"/>
  <c r="C41" i="10"/>
  <c r="B41" i="10"/>
  <c r="C40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D30" i="10"/>
  <c r="C30" i="10"/>
  <c r="B30" i="10"/>
  <c r="B26" i="10"/>
  <c r="B25" i="10"/>
  <c r="B24" i="10"/>
  <c r="B23" i="10"/>
  <c r="B22" i="10"/>
  <c r="B50" i="9"/>
  <c r="B47" i="9"/>
  <c r="B46" i="9"/>
  <c r="B45" i="9"/>
  <c r="B44" i="9"/>
  <c r="D43" i="9"/>
  <c r="B43" i="9"/>
  <c r="B41" i="9"/>
  <c r="B38" i="9" l="1"/>
  <c r="B25" i="9"/>
  <c r="C38" i="9"/>
  <c r="D38" i="9"/>
  <c r="D37" i="9" l="1"/>
  <c r="B27" i="9"/>
  <c r="B59" i="9"/>
  <c r="C49" i="9" l="1"/>
  <c r="B36" i="9"/>
  <c r="D36" i="9"/>
  <c r="D50" i="9" l="1"/>
  <c r="C50" i="9"/>
  <c r="C51" i="9" s="1"/>
  <c r="C53" i="9" s="1"/>
  <c r="C54" i="9" l="1"/>
  <c r="C56" i="9" s="1"/>
  <c r="C57" i="9" s="1"/>
</calcChain>
</file>

<file path=xl/sharedStrings.xml><?xml version="1.0" encoding="utf-8"?>
<sst xmlns="http://schemas.openxmlformats.org/spreadsheetml/2006/main" count="542" uniqueCount="422">
  <si>
    <t>Товгор үсэг</t>
  </si>
  <si>
    <t>Нерж үсэг</t>
  </si>
  <si>
    <t>3D үсэг</t>
  </si>
  <si>
    <t>Гэрэлт самбар</t>
  </si>
  <si>
    <t>PVC үсэг</t>
  </si>
  <si>
    <t>Эпокси</t>
  </si>
  <si>
    <t>Фонтой хаяг</t>
  </si>
  <si>
    <t>Төмөр лист</t>
  </si>
  <si>
    <t>Үнэ (₮)</t>
  </si>
  <si>
    <t>Цагийн реле</t>
  </si>
  <si>
    <t>Кран (1 цаг)</t>
  </si>
  <si>
    <t>Кран (өдөр)</t>
  </si>
  <si>
    <t>Угсралт</t>
  </si>
  <si>
    <t>Дизайн</t>
  </si>
  <si>
    <t>Хугацаа</t>
  </si>
  <si>
    <t>Нэмэгдэл %</t>
  </si>
  <si>
    <t>Энгийн (3-5 өдөр)</t>
  </si>
  <si>
    <t>48 цаг (яаралтай)</t>
  </si>
  <si>
    <t>24 цаг (онцгой)</t>
  </si>
  <si>
    <t>НӨАТ хувь</t>
  </si>
  <si>
    <t>Бүтээгдэхүүн:</t>
  </si>
  <si>
    <t>Цагийн реле:</t>
  </si>
  <si>
    <t>Үгүй</t>
  </si>
  <si>
    <t>Кран:</t>
  </si>
  <si>
    <t>Угсралт:</t>
  </si>
  <si>
    <t>Дизайн:</t>
  </si>
  <si>
    <t>Хугацаа:</t>
  </si>
  <si>
    <t>₮</t>
  </si>
  <si>
    <t>№</t>
  </si>
  <si>
    <t>Огноо</t>
  </si>
  <si>
    <t>Үйлчлүүлэгч</t>
  </si>
  <si>
    <t>Утас</t>
  </si>
  <si>
    <t>Бүтээгдэхүүн</t>
  </si>
  <si>
    <t>Тоо/Тираж</t>
  </si>
  <si>
    <t>Дүн (НӨАТ-гүй)</t>
  </si>
  <si>
    <t>НӨАТ</t>
  </si>
  <si>
    <t>НИЙТ ДҮН</t>
  </si>
  <si>
    <t>Төлөв</t>
  </si>
  <si>
    <t>Байхгүй</t>
  </si>
  <si>
    <t>Өнгө:</t>
  </si>
  <si>
    <t>Нэгж үнэ</t>
  </si>
  <si>
    <t>Офсет хэвлэлийн бүх үнэ, материал, тохиргоог энд удирдана</t>
  </si>
  <si>
    <t>1️⃣ ЕРӨНХИЙ ТОХИРГОО</t>
  </si>
  <si>
    <t>← Өөрчлөх боломжтой</t>
  </si>
  <si>
    <t>Ашигийн хувь (default)</t>
  </si>
  <si>
    <t>← Тооцоолуур дээр өөрчилж болно</t>
  </si>
  <si>
    <t>Хаягдлын хувь</t>
  </si>
  <si>
    <t>← Цаасны нэмэлт хаягдал (5%)</t>
  </si>
  <si>
    <t>Хавтан (Plate) нэгж үнэ</t>
  </si>
  <si>
    <t>₮/хавтан</t>
  </si>
  <si>
    <t>Хавтангийн тоо (өнгө бүрт)</t>
  </si>
  <si>
    <t>← CMYK = 4 хавтан</t>
  </si>
  <si>
    <t>Машин ажиллагаа (₮/бацт)</t>
  </si>
  <si>
    <t>₮/бацт (500ш шилжүүлэл)</t>
  </si>
  <si>
    <t>Бүрэлт (Folding) ₮/хуудас</t>
  </si>
  <si>
    <t>₮/хуудас (A3)</t>
  </si>
  <si>
    <t>#</t>
  </si>
  <si>
    <t>Нэр</t>
  </si>
  <si>
    <t>GSM</t>
  </si>
  <si>
    <t>Үнэ (₮/хуудас)</t>
  </si>
  <si>
    <t>Код</t>
  </si>
  <si>
    <t>Өргөн (мм)</t>
  </si>
  <si>
    <t>Өндөр (мм)</t>
  </si>
  <si>
    <t>Нүүр/Бацт</t>
  </si>
  <si>
    <t>A3</t>
  </si>
  <si>
    <t>A3 (297×420мм)</t>
  </si>
  <si>
    <t>B3</t>
  </si>
  <si>
    <t>B3 (353×500мм)</t>
  </si>
  <si>
    <t>A4</t>
  </si>
  <si>
    <t>A4 (210×297мм)</t>
  </si>
  <si>
    <t>B5</t>
  </si>
  <si>
    <t>B5 (176×250мм)</t>
  </si>
  <si>
    <t>A5</t>
  </si>
  <si>
    <t>A5 (148×210мм)</t>
  </si>
  <si>
    <t>A6</t>
  </si>
  <si>
    <t>A6 (105×148мм)</t>
  </si>
  <si>
    <t>70x1М</t>
  </si>
  <si>
    <t>70×100см (Том)</t>
  </si>
  <si>
    <t>CUST</t>
  </si>
  <si>
    <t>Захиалгат хэмжээ</t>
  </si>
  <si>
    <t>Тайлбар</t>
  </si>
  <si>
    <t>Өнгөт (4+4)</t>
  </si>
  <si>
    <t>5️⃣ ХАВТАСЛАЛТ</t>
  </si>
  <si>
    <t>-</t>
  </si>
  <si>
    <t>Зөөлөн хавтас</t>
  </si>
  <si>
    <t>Хатуу хавтас</t>
  </si>
  <si>
    <t>Спираль</t>
  </si>
  <si>
    <t>Ламинац (Гэрэлт)</t>
  </si>
  <si>
    <t>Ламинац (Матт)</t>
  </si>
  <si>
    <t>UV лак</t>
  </si>
  <si>
    <t>Тигел</t>
  </si>
  <si>
    <t>Эмбосс</t>
  </si>
  <si>
    <t>🔧 ХАЯГ АДМИН — BizPrint.mn</t>
  </si>
  <si>
    <t>Хаяг рекламын бүтээгдэхүүн, үнэ, нэмэлт үйлчилгээг энд удирдана</t>
  </si>
  <si>
    <t>1️⃣ БҮТЭЭГДЭХҮҮНИЙ ЖАГСААЛТ</t>
  </si>
  <si>
    <t>М² үнэ (₮)</t>
  </si>
  <si>
    <t>Мин. талбай (м²)</t>
  </si>
  <si>
    <t>Лайтбокс</t>
  </si>
  <si>
    <t>2️⃣ НЭМЭЛТ СОНГОЛТУУД (Үнэд нөлөөлөх)</t>
  </si>
  <si>
    <t>Гэрэлтүүлэг</t>
  </si>
  <si>
    <t>LED гэрэлтүүлэг суурилуулах</t>
  </si>
  <si>
    <t>Төмөр рам</t>
  </si>
  <si>
    <t>Хаягны төмөр рам</t>
  </si>
  <si>
    <t>Суурилуулалт</t>
  </si>
  <si>
    <t>Байршилд суурилуулах</t>
  </si>
  <si>
    <t>Автомат гэрэл унтраах реле</t>
  </si>
  <si>
    <t>Тог буурулагч</t>
  </si>
  <si>
    <t>Тог бууруулах төхөөрөмж</t>
  </si>
  <si>
    <t>1 цагийн кран</t>
  </si>
  <si>
    <t>Өдрийн кран</t>
  </si>
  <si>
    <t>Хаяг угсралт</t>
  </si>
  <si>
    <t>Дизайн зураг</t>
  </si>
  <si>
    <t>3️⃣ ХУГАЦААНЫ НЭМЭГДЭЛ</t>
  </si>
  <si>
    <t>4️⃣ ЕРӨНХИЙ ТОХИРГОО</t>
  </si>
  <si>
    <t>⚡ ХЭВЛЭЛ ТООЦООЛУУР — BizPrint.mn</t>
  </si>
  <si>
    <t>Офсет хэвлэлийн үнэ тооцоох • Бүх үнэ Админ-аас татагдана</t>
  </si>
  <si>
    <t>📦 ОРУУЛАХ ТАЛБАР</t>
  </si>
  <si>
    <t>Тоо ширхэг (тираж):</t>
  </si>
  <si>
    <t>← тираж оруулна</t>
  </si>
  <si>
    <t>Нийт нүүр:</t>
  </si>
  <si>
    <t>← нүүрийн тоо оруулна</t>
  </si>
  <si>
    <t>Хэмжээ:</t>
  </si>
  <si>
    <t>← dropdown сонгоно</t>
  </si>
  <si>
    <t>Цаасны GSM:</t>
  </si>
  <si>
    <t>Хавтаслалт:</t>
  </si>
  <si>
    <t>Ашигийн хувь (%):</t>
  </si>
  <si>
    <t>← өөрчлөх боломжтой (default 25%)</t>
  </si>
  <si>
    <t>🎨 FINISHING</t>
  </si>
  <si>
    <t>Хавтас:</t>
  </si>
  <si>
    <t>Тийм</t>
  </si>
  <si>
    <t>← Тийм/Үгүй</t>
  </si>
  <si>
    <t>Бүрэлт:</t>
  </si>
  <si>
    <t>Ламинац:</t>
  </si>
  <si>
    <t>← Байхгүй / Гэрэлт / Матт</t>
  </si>
  <si>
    <t>UV лак:</t>
  </si>
  <si>
    <t>Тигел:</t>
  </si>
  <si>
    <t>Эмбосс:</t>
  </si>
  <si>
    <t>Хавтсын GSM:</t>
  </si>
  <si>
    <t>← Хавтсын цаас сонгох</t>
  </si>
  <si>
    <t>⚙️ ЗАВСРЫН ТООЦОО (Автомат)</t>
  </si>
  <si>
    <t>Нүүр/Бацт:</t>
  </si>
  <si>
    <t>нүүр (Админ-аас)</t>
  </si>
  <si>
    <t>Бацт тоо:</t>
  </si>
  <si>
    <t>= Нийт нүүр ÷ Нүүр/Бацт (дээшээ)</t>
  </si>
  <si>
    <t>Өнгө үржүүлэгч:</t>
  </si>
  <si>
    <t>= 4+4 бол 2 тал, 4+0 бол 1 тал</t>
  </si>
  <si>
    <t>Нийт хавтан:</t>
  </si>
  <si>
    <t>= Бацт × Өнгө/хавтан × үржүүлэгч</t>
  </si>
  <si>
    <t>Хуудас тоо (+ хаягдал):</t>
  </si>
  <si>
    <t>= Тираж × (Нүүрүүд/Бацт) × (1 + хаягдал%)</t>
  </si>
  <si>
    <t>Цаасны үнэ/хуудас:</t>
  </si>
  <si>
    <t>= Админ цаасны хүснэгтээс</t>
  </si>
  <si>
    <t>Хавтсын үнэ/ш:</t>
  </si>
  <si>
    <t>= Хавтаслалтын үнэ (Админ-аас)</t>
  </si>
  <si>
    <t>Хавтсын GSM үнэ/х:</t>
  </si>
  <si>
    <t>= Хавтсын цаасны үнэ/хуудас</t>
  </si>
  <si>
    <t>Хугацааны нэмэгдэл %:</t>
  </si>
  <si>
    <t>💰 ҮНИЙН ЗАДАРГАА</t>
  </si>
  <si>
    <t>Зардлын нэр</t>
  </si>
  <si>
    <t>Тооцоо</t>
  </si>
  <si>
    <t>Дүн (₮)</t>
  </si>
  <si>
    <t>Хавтан (Plate)</t>
  </si>
  <si>
    <t>Машин ажиллагаа (Press)</t>
  </si>
  <si>
    <t>Цаас (дотор)</t>
  </si>
  <si>
    <t>Хавтас — Хавтан</t>
  </si>
  <si>
    <t>8 хавтан × хавтан үнэ</t>
  </si>
  <si>
    <t>Хавтас — Машин</t>
  </si>
  <si>
    <t>1 бацт × машин үнэ</t>
  </si>
  <si>
    <t>Хавтас — Цаас</t>
  </si>
  <si>
    <t>Тираж + хаягдал × хавтсын GSM үнэ</t>
  </si>
  <si>
    <t>Бүрэлт (Folding)</t>
  </si>
  <si>
    <t>Хуудас тоо × бүрэлт үнэ</t>
  </si>
  <si>
    <t>Хавтаслалт</t>
  </si>
  <si>
    <t>Ламинац</t>
  </si>
  <si>
    <t>Хуудас × ламинац үнэ</t>
  </si>
  <si>
    <t>Хуудас × UV үнэ</t>
  </si>
  <si>
    <t>Хуудас × тигел үнэ</t>
  </si>
  <si>
    <t>Хуудас × эмбосс үнэ</t>
  </si>
  <si>
    <t>Дүн (Зардал)</t>
  </si>
  <si>
    <t>Ашиг</t>
  </si>
  <si>
    <t>Хугацааны нэмэгдэл</t>
  </si>
  <si>
    <t>НӨАТ (10%)</t>
  </si>
  <si>
    <t>НИЙТ ТӨЛӨХ ДҮН</t>
  </si>
  <si>
    <t>₮/ширхэг</t>
  </si>
  <si>
    <t>📝 Арга: Офсет</t>
  </si>
  <si>
    <t>⚡ ХАЯГ ТООЦООЛУУР — BizPrint.mn</t>
  </si>
  <si>
    <t>Хаяг рекламын үнэ тооцоох • М² үнээр тооцоолно • Админ-аас татагдана</t>
  </si>
  <si>
    <t>Өргөн (мм):</t>
  </si>
  <si>
    <t>← мм-ээр оруулна</t>
  </si>
  <si>
    <t>Өндөр (мм):</t>
  </si>
  <si>
    <t>Тоо ширхэг:</t>
  </si>
  <si>
    <t>← хаягны тоо</t>
  </si>
  <si>
    <t>🛠️ НЭМЭЛТ СОНГОЛТУУД</t>
  </si>
  <si>
    <t>Гэрэлтүүлэг:</t>
  </si>
  <si>
    <t>Төмөр рам:</t>
  </si>
  <si>
    <t>Суурилуулалт:</t>
  </si>
  <si>
    <t>Тог буурулагч:</t>
  </si>
  <si>
    <t>← Үгүй / 1 цаг / Өдөр</t>
  </si>
  <si>
    <t>⚙️ ТООЦОО (Автомат)</t>
  </si>
  <si>
    <t>М² үнэ:</t>
  </si>
  <si>
    <t>₮/м² (Админ-аас)</t>
  </si>
  <si>
    <t>Мин. талбай:</t>
  </si>
  <si>
    <t>м²</t>
  </si>
  <si>
    <t>Бодит талбай:</t>
  </si>
  <si>
    <t>м² (Өргөн × Өндөр ÷ 1,000,000)</t>
  </si>
  <si>
    <t>Хэрэглэх талбай:</t>
  </si>
  <si>
    <t>м² (MAX: бодит вс мин.)</t>
  </si>
  <si>
    <t>Хугацааны %:</t>
  </si>
  <si>
    <t>Үндсэн үнэ (үсэг)</t>
  </si>
  <si>
    <t>Кран</t>
  </si>
  <si>
    <t>Дүн (НЭМЭЛТ-гүй)</t>
  </si>
  <si>
    <t>📒 ЗАХИАЛГЫН ТҮҮХ — BizPrint.mn</t>
  </si>
  <si>
    <t>Төрөл</t>
  </si>
  <si>
    <t>2️⃣ ЦААСНЫ ТӨРӨЛ &amp; ЗУЗААН (GSM)</t>
  </si>
  <si>
    <t>Цаасны төрөл</t>
  </si>
  <si>
    <t>Нэр (Dropdown-д)</t>
  </si>
  <si>
    <t>Шохойтой цаас</t>
  </si>
  <si>
    <t>Матт цаас</t>
  </si>
  <si>
    <t>Номын шар гөлгөр</t>
  </si>
  <si>
    <t>Номын шар хөнгөн</t>
  </si>
  <si>
    <t>Номын оффсет</t>
  </si>
  <si>
    <t>Хортой цаас</t>
  </si>
  <si>
    <t>Хатуу хавтасны картон</t>
  </si>
  <si>
    <t>1.5мм</t>
  </si>
  <si>
    <t>2мм</t>
  </si>
  <si>
    <t>2.5мм</t>
  </si>
  <si>
    <t>Кай цаас</t>
  </si>
  <si>
    <t>Стикер цаас</t>
  </si>
  <si>
    <t>A2</t>
  </si>
  <si>
    <t>3️⃣ ХЭМЖЭЭ &amp; БАЦТ</t>
  </si>
  <si>
    <t>4️⃣ ӨНГӨ ГОРИМ</t>
  </si>
  <si>
    <t>Өнгө горим</t>
  </si>
  <si>
    <t>Үржүүлэгч (plate)</t>
  </si>
  <si>
    <t>4+4 (Өнгөт)</t>
  </si>
  <si>
    <t>Д2 тал бүтэн өнгө</t>
  </si>
  <si>
    <t>4+0 (Өнгөт/Хар)</t>
  </si>
  <si>
    <t>Нэг тал өнгө, нөгөө хар</t>
  </si>
  <si>
    <t>1+1 (Хар/Хар)</t>
  </si>
  <si>
    <t>Д2 тал хар цагаан</t>
  </si>
  <si>
    <t>1+0 (Хар)</t>
  </si>
  <si>
    <t>Нэг тал хар цагаан</t>
  </si>
  <si>
    <t>Үнэ (₮/ш)</t>
  </si>
  <si>
    <t>Хавтас GSM</t>
  </si>
  <si>
    <t>2мм картон</t>
  </si>
  <si>
    <t>Скрепка</t>
  </si>
  <si>
    <t>6️⃣ FINISHING</t>
  </si>
  <si>
    <t>Finishing</t>
  </si>
  <si>
    <t>A3 хуудас тутам</t>
  </si>
  <si>
    <t>7️⃣ ХУГАЦАА</t>
  </si>
  <si>
    <t>Нэмэлт %</t>
  </si>
  <si>
    <t>Ердийн (5-7 өдөр)</t>
  </si>
  <si>
    <t>Яаралтай (3-4 өдөр)</t>
  </si>
  <si>
    <t>Онцгой (1-2 өдөр)</t>
  </si>
  <si>
    <t>8️⃣ ТУСЛАХ МАТЕРИАЛ</t>
  </si>
  <si>
    <t>Материал</t>
  </si>
  <si>
    <t>Бүтээгдэхүүний туслах</t>
  </si>
  <si>
    <t>Торны оосор</t>
  </si>
  <si>
    <t>Стикер шүршигч</t>
  </si>
  <si>
    <t>Хэвлэлийн машины туслах</t>
  </si>
  <si>
    <t>Пүүдэр</t>
  </si>
  <si>
    <t>Метрийн бул арчигч</t>
  </si>
  <si>
    <t>Шохойтой цаас 80гр — 60₮</t>
  </si>
  <si>
    <t>Шохойтой цаас 250гр — 280₮</t>
  </si>
  <si>
    <t>📋 BIZPRINT.MN — ХЭВЛЭЛ ТООЦООЛУУР ЗАСВАРЛАХ ПРОМПТ</t>
  </si>
  <si>
    <t>Доорх промптыг Claude-д өгч, тооцоолуурын логикийг засуулна. Промптыг бүтнээр нь хуулж өгнө.</t>
  </si>
  <si>
    <t>═══════════════════════════════════════════════════════════════════</t>
  </si>
  <si>
    <t>ПРОМПТ ЭХЛЭЛ:</t>
  </si>
  <si>
    <t>Чи BizPrint.mn хэвлэх үйлдвэрийн Excel тооцоолуур дээр ажиллаж байна. "⚡ Хэвлэл Тооцоолуур" шийтийн формулуудыг засаж, жижиг захиалга (флаер, брошур, тараах материал, A4/A5/A6 ар өвөргүй хэвлэл) -ээс том тиражийн ном хүртэл бүгдийг зөв тооцоолдог болго.</t>
  </si>
  <si>
    <t>═══ ФАЙЛЫН БҮТЭЦ ═══</t>
  </si>
  <si>
    <t>• "🔧 Хэвлэл Админ" = мэдээллийн сан (үнэ, тохиргоо). ЭНД ФОРМУЛА БИЧИХГҮЙ, зөвхөн уншина.</t>
  </si>
  <si>
    <t>• "⚡ Хэвлэл Тооцоолуур" = калькулятор. ЗӨВХӨН ЭНД формула засна.</t>
  </si>
  <si>
    <t>═══ АДМИН ШИЙТИЙН ЛАВ МЭДЭЭЛЭЛ (Уншиж ашиглах) ═══</t>
  </si>
  <si>
    <t>Ерөнхий тохиргоо:</t>
  </si>
  <si>
    <t xml:space="preserve">  B5=0.1 (НӨАТ 10%), B6=0.25 (Ашиг default), B7=0.05 (Хаягдал 5%), B8=3500 (Хавтан ₮/ш), B9=4 (CMYK хавтан), B10=35000 (Машин ₮/бацт), B11=100 (Бүрэлт ₮/хуудас)</t>
  </si>
  <si>
    <t>Хэмжээ &amp; Бацт (B51:F58):</t>
  </si>
  <si>
    <t xml:space="preserve">  A3→Нүүр/Бацт=2, B3→2, A4→4, B5→8, A5→8, A6→16, 70x1M→1, CUST→2</t>
  </si>
  <si>
    <t xml:space="preserve">  Нүүр/Бацт = нэг A3 хуудсан дээр хэдэн нүүр багтах (A4=4 гэдэг нь 1 A3 хуудасны нэг талд 2 A4 нүүр, 2 талд 4 нүүр)</t>
  </si>
  <si>
    <t>Өнгө горим (B62:C65):</t>
  </si>
  <si>
    <t xml:space="preserve">  "4+4 (Өнгөт)"→үржүүлэгч=2 (ар өвөр), "4+0 (Өнгөт/Хар)"→1 (нэг тал), "1+1 (Хар/Хар)"→2, "1+0 (Хар)"→1</t>
  </si>
  <si>
    <t xml:space="preserve">  ЧУХАЛ: Үржүүлэгч нь хавтан тоог тооцоход ашиглагдана. Мөн машин ажиллагааг 2 талд тооцоход хэрэглэгдэнэ.</t>
  </si>
  <si>
    <t>═══ ОДООГИЙН ФОРМУЛУУД (Тооцоолуур шийтэд) ═══</t>
  </si>
  <si>
    <t>Оруулах утгууд (хэрэглэгч оруулна):</t>
  </si>
  <si>
    <t xml:space="preserve">  B5=Тираж, B6=Нийт нүүр, B7=Хэмжээ, B8=Цаас, B9=Өнгө, B10=Хавтаслалт, B11=Ашиг%, B12=Хугацаа</t>
  </si>
  <si>
    <t xml:space="preserve">  B15=Хавтас(Тийм/Үгүй), B16=Бүрэлт(Тийм/Үгүй), B17=Ламинац, B18=UV, B19=Тигел, B20=Эмбосс, B21=Хавтсын GSM</t>
  </si>
  <si>
    <t>Завсрын тооцоо (автомат):</t>
  </si>
  <si>
    <t xml:space="preserve">  B24 = INDEX(Админ Нүүр/Бацт, MATCH(B7)) → Хэмжээнээс хамаарч нүүр/бацт олно</t>
  </si>
  <si>
    <t xml:space="preserve">  B25 = CEILING(B6/B24,1) → Бацт тоо (нүүрийг бацтад хуваана)</t>
  </si>
  <si>
    <t xml:space="preserve">  B26 = INDEX(Админ Өнгө үржүүлэгч, MATCH(B9)) → 4+4 бол 2, 4+0 бол 1</t>
  </si>
  <si>
    <t xml:space="preserve">  B27 = B25 × 4(CMYK) × B26 → Нийт хавтан тоо</t>
  </si>
  <si>
    <t xml:space="preserve">  B28 = CEILING(B5 × (B6/B24) × (1+хаягдал%)) → Нийт хуудас (хаягдалтай)</t>
  </si>
  <si>
    <t xml:space="preserve">  B29 = Цаасны үнэ/хуудас (Админ-аас)</t>
  </si>
  <si>
    <t xml:space="preserve">  B30 = Хавтаслалтын үнэ/ш (Админ-аас)</t>
  </si>
  <si>
    <t xml:space="preserve">  B31 = Хавтсын цаасны үнэ/хуудас (Админ-аас)</t>
  </si>
  <si>
    <t xml:space="preserve">  B32 = Хугацааны нэмэгдэл % (Админ-аас)</t>
  </si>
  <si>
    <t>Үнийн задаргаа:</t>
  </si>
  <si>
    <t xml:space="preserve">  C36 = B27 × 3500 → Хавтан зардал</t>
  </si>
  <si>
    <t xml:space="preserve">  C37 = B25 × 35000 → Машин зардал ⚠️ АЛДАА: өнгө үржүүлэгч тооцоогүй!</t>
  </si>
  <si>
    <t xml:space="preserve">  C38 = B28 × B29 → Цаасны зардал</t>
  </si>
  <si>
    <t xml:space="preserve">  C39 = 8 × 3500 → Хавтсын хавтан ⚠️ АЛДАА: 8 хатуу кодлогдсон!</t>
  </si>
  <si>
    <t xml:space="preserve">  C40 = 35000 → Хавтсын машин ⚠️ АЛДАА: зөвхөн 1 бацт</t>
  </si>
  <si>
    <t xml:space="preserve">  C41 = тираж × (1+хаягдал%) × хавтсын GSM үнэ → Хавтсын цаас</t>
  </si>
  <si>
    <t xml:space="preserve">  C42 = IF(Бүрэлт="Үгүй",0, тираж × (нүүр/нүүр_бацт) × 100) → Бүрэлт ⚠️ АЛДАА: 1-2 нүүрт бүрэлт хэрэггүй</t>
  </si>
  <si>
    <t xml:space="preserve">  C43 = IF(Хавтас="Байхгүй",0, тираж × хавтаслалт_үнэ) → Хавтаслалт ⚠️ АЛДАА: цөөн нүүрт хавтас хэрэггүй</t>
  </si>
  <si>
    <t xml:space="preserve">  C44-C47 = Ламинац, UV, Тигел, Эмбосс (зөв ажиллаж байна)</t>
  </si>
  <si>
    <t xml:space="preserve">  C49 = SUM(C36:C47) → Нийт зардал</t>
  </si>
  <si>
    <t xml:space="preserve">  C50 = C49 × B11 → Ашиг</t>
  </si>
  <si>
    <t xml:space="preserve">  C51 = (C49+C50) × B32 → Хугацааны нэмэгдэл</t>
  </si>
  <si>
    <t xml:space="preserve">  C53 = C49+C50+C51 → НӨАТ-гүй дүн</t>
  </si>
  <si>
    <t xml:space="preserve">  C54 = C53 × 10% → НӨАТ</t>
  </si>
  <si>
    <t xml:space="preserve">  C56 = C53+C54 → НИЙТ ДҮН</t>
  </si>
  <si>
    <t xml:space="preserve">  C57 = C56/B5 → Нэгж үнэ</t>
  </si>
  <si>
    <t>═══ ЗАСАХ АЛДААНУУД БА ШИНЭ ЛОГИК ═══</t>
  </si>
  <si>
    <t>АЛДАА #1: Машин ажиллагаа өнгө үржүүлэгч тооцоогүй</t>
  </si>
  <si>
    <t xml:space="preserve">  Одоо: C37 = B25 × 35000 (зөвхөн бацт тоогоор тооцоолж байна, 2 тал нь орхигдсон)</t>
  </si>
  <si>
    <t xml:space="preserve">  Зөв: C37 = B25 × B26 × 35000 (бацт × өнгө_үржүүлэгч × машин_үнэ)</t>
  </si>
  <si>
    <t xml:space="preserve">  Яагаад: 4+4 бол ар өвөр 2 удаа машинд орно. 32 бацт биш, 64 бацт байх ёстой.</t>
  </si>
  <si>
    <t>АЛДАА #2: Хавтсын хавтан 8 хатуу кодлогдсон</t>
  </si>
  <si>
    <t xml:space="preserve">  Одоо: C39 = 8 × 3500 (үргэлж 8 хавтан = 4+4 гэж үзсэн)</t>
  </si>
  <si>
    <t xml:space="preserve">  Зөв: C39 = Админ.B9(4) × B26(өнгө_үржүүлэгч) × 3500 → 4+0 бол 4 хавтан, 4+4 бол 8 хавтан</t>
  </si>
  <si>
    <t>АЛДАА #3: Бүрэлт цөөн нүүрт материалд тооцогдож байна</t>
  </si>
  <si>
    <t xml:space="preserve">  Одоо: C42 = IF(B16="Үгүй",0, тираж × (нүүр/нүүр_бацт) × 100)</t>
  </si>
  <si>
    <t xml:space="preserve">  Асуудал: A4 2 нүүр флаер → бүрэлт хэрэггүй гэтэл бүрэлтийн зардал нэмэгдэнэ</t>
  </si>
  <si>
    <t xml:space="preserve">  Зөв: C42 = IF(OR(B16="Үгүй", B6&lt;=B24), 0, ...) → Нүүр тоо ≤ нүүр/бацт бол бүрэлт 0</t>
  </si>
  <si>
    <t xml:space="preserve">  Яагаад: Бүрэлт гэдэг нь олон хуудсыг нугалж давхарлах үйлдэл. 1 хуудас (=1 бацт) бол нугалах зүйл алга.</t>
  </si>
  <si>
    <t>АЛДАА #4: Хавтаслалт цөөн нүүрт хэрэггүй</t>
  </si>
  <si>
    <t xml:space="preserve">  Одоо: C43 = IF(B10="Байхгүй",0, B5×B30) — хэрэглэгч "Байхгүй" сонгохоос өөр аргагүй</t>
  </si>
  <si>
    <t xml:space="preserve">  Асуудал: A4 2 нүүр флаер + Зөөлөн хавтас = шаардлагагүй 1,200₮/ш нэмэгдэнэ</t>
  </si>
  <si>
    <t xml:space="preserve">  Зөв: Нүүр тоо ≤ 4 бол хавтаслалт автоматаар 0 болгох (хавтас хавтан + машин + цаас бүгд 0)</t>
  </si>
  <si>
    <t xml:space="preserve">  C39=0, C40=0, C41=0, C43=0 гэх нөхцөл: IF(OR(B10="Байхгүй", B6&lt;=4), 0, ...)</t>
  </si>
  <si>
    <t xml:space="preserve">  Яагаад: Флаер, брошур, тараах материал нь хавтасгүй байдаг. 4 нүүр = нэг A3 хуудасны 2 тал.</t>
  </si>
  <si>
    <t>АЛДАА #5: Хавтсын машин үргэлж 1 бацт</t>
  </si>
  <si>
    <t xml:space="preserve">  Одоо: C40 = 35000 (хатуу 1 бацт)</t>
  </si>
  <si>
    <t xml:space="preserve">  Зөв: Хавтас дээрх өнгө үржүүлэгчийг тооцох: B26 × 35000 (4+4 бол 2 бацт, 4+0 бол 1 бацт)</t>
  </si>
  <si>
    <t>═══ ШИНЭ ЛОГИК #1: ТОХИРУУЛГЫН ХАЯГДАЛ (Makeready Waste) ═══</t>
  </si>
  <si>
    <t xml:space="preserve">  Офсет машин эхлэхэд бацт тутамд тохиргооны хаягдал гардаг (өнгө тохируулах, будгийн тэнцэл).</t>
  </si>
  <si>
    <t xml:space="preserve">  Одоо B28 формулад зөвхөн 5% пропорционал хаягдал байна. Жижиг тиражид энэ хүрэлцэхгүй.</t>
  </si>
  <si>
    <t xml:space="preserve">  Хэрэгжүүлэх:</t>
  </si>
  <si>
    <t xml:space="preserve">  1) Админ шийтэд шинэ мөр нэм: "Тохируулгын хаягдал (хуудас/бацт)" = 50 (B12 цэлд нэмэх)</t>
  </si>
  <si>
    <t xml:space="preserve">  2) B28 формула: = CEILING(B5×(B6/B24)×(1+Хаягдал%), 1) + B25 × Тохируулгын_хаягдал</t>
  </si>
  <si>
    <t xml:space="preserve">  Логик: Пропорционал хаягдал(5%) + тогтмол хаягдал(50 хуудас/бацт). 100ш тиражид 50 хуудас = 50% нэмэгдэл, 10000шт бол 0.5% → бодиттой</t>
  </si>
  <si>
    <t>═══ ШИНЭ ЛОГИК #2: ХАВТАС НЭГ БАЦТЫН ТООЦОО ═══</t>
  </si>
  <si>
    <t xml:space="preserve">  Хавтас нь тусдаа бацтаар хэвлэгдэнэ. Одоо зөвхөн 1 бацт гэж үзэж байна.</t>
  </si>
  <si>
    <t xml:space="preserve">  Зөв логик: Хавтас нь ар өвөр 2 нүүр → 1 бацт = 1 A3 хуудсанд 2 хавтас (A4 хэмжээтэй хавтас бол)</t>
  </si>
  <si>
    <t xml:space="preserve">  Хавтсын бацт тоо = CEILING(тираж / (хэмжээний нүүр/бацт / 2), 1) гэх мэтийн тооцоо боломжтой. Эсвэл 1 бацтыг хэвээр үлдээж болно.</t>
  </si>
  <si>
    <t>═══ ФОРМУЛА ЗАСВАРЫН НАРИЙВЧИЛСАН ЗААВАР ═══</t>
  </si>
  <si>
    <t>Админ шийтэд нэмэх:</t>
  </si>
  <si>
    <t xml:space="preserve">  B12 = 50 (Тохируулгын хаягдал хуудас/бацт)  ВАЛИДАЦИ: Админ шийтэд B12 хоосон байгаа шалга!</t>
  </si>
  <si>
    <t>Тооцоолуур шийтэд засах формулууд:</t>
  </si>
  <si>
    <t>B28 (Хуудас тоо + тохируулгын хаягдал):</t>
  </si>
  <si>
    <t xml:space="preserve">  Хуучин: =CEILING(B5*(B6/B24)*(1+'🔧 Хэвлэл Админ'!B7),1)</t>
  </si>
  <si>
    <t xml:space="preserve">  Шинэ:  =CEILING(B5*(B6/B24)*(1+'🔧 Хэвлэл Админ'!B7),1) + B25*'🔧 Хэвлэл Админ'!B12</t>
  </si>
  <si>
    <t xml:space="preserve">  (пропорционал хаягдал + бацт тутмын тогтмол хаягдал)</t>
  </si>
  <si>
    <t>C37 (Машин ажиллагаа — өнгө үржүүлэгч нэмэх):</t>
  </si>
  <si>
    <t xml:space="preserve">  Хуучин: =B25*'🔧 Хэвлэл Админ'!B10</t>
  </si>
  <si>
    <t xml:space="preserve">  Шинэ:  =B25*B26*'🔧 Хэвлэл Админ'!B10</t>
  </si>
  <si>
    <t xml:space="preserve">  (бацт × өнгө_үржүүлэгч × машин_үнэ. 4+4 бол 2× машин, 4+0 бол 1×)</t>
  </si>
  <si>
    <t>C39 (Хавтсын хавтан — динамик болгох):</t>
  </si>
  <si>
    <t xml:space="preserve">  Хуучин: =IF(B10="Байхгүй",0,8*'🔧 Хэвлэл Админ'!B8)</t>
  </si>
  <si>
    <t xml:space="preserve">  Шинэ:  =IF(OR(B10="Байхгүй",B6&lt;=4),0,'🔧 Хэвлэл Админ'!B9*B26*'🔧 Хэвлэл Админ'!B8)</t>
  </si>
  <si>
    <t xml:space="preserve">  (4 нүүр ва түүнээс цөөн бол хавтас 0; өнгө үржүүлэгчээр тооцоолно)</t>
  </si>
  <si>
    <t>C40 (Хавтсын машин — өнгө үржүүлэгч нэмэх):</t>
  </si>
  <si>
    <t xml:space="preserve">  Хуучин: =IF(B10="Байхгүй",0,'🔧 Хэвлэл Админ'!B10)</t>
  </si>
  <si>
    <t xml:space="preserve">  Шинэ:  =IF(OR(B10="Байхгүй",B6&lt;=4),0,B26*'🔧 Хэвлэл Админ'!B10)</t>
  </si>
  <si>
    <t xml:space="preserve">  (өнгө үржүүлэгч × машин үнэ. Хавтас ар өвөр хэвлэх үед 2 бацт)</t>
  </si>
  <si>
    <t>C41 (Хавтсын цаас — хавтастай үедээ тооцоох):</t>
  </si>
  <si>
    <t xml:space="preserve">  Хуучин: =IF(B10="Байхгүй",0,CEILING(B5*(1+'🔧 Хэвлэл Админ'!B7),1)*B31)</t>
  </si>
  <si>
    <t xml:space="preserve">  Шинэ:  =IF(OR(B10="Байхгүй",B6&lt;=4),0,CEILING(B5*(1+'🔧 Хэвлэл Админ'!B7),1)*B31)</t>
  </si>
  <si>
    <t xml:space="preserve">  (цөөн нүүр бол хавтсын цаас = 0)</t>
  </si>
  <si>
    <t>C42 (Бүрэлт — цөөн нүүрт автомат 0):</t>
  </si>
  <si>
    <t xml:space="preserve">  Хуучин: =IF(B16="Үгүй",0,B5*(B6/B24)*'🔧 Хэвлэл Админ'!B11)</t>
  </si>
  <si>
    <t xml:space="preserve">  Шинэ:  =IF(OR(B16="Үгүй",B6&lt;=B24),0,B28*'🔧 Хэвлэл Админ'!B11)</t>
  </si>
  <si>
    <t xml:space="preserve">  (Нүүр тоо ≤ нүүр/бацт бол бүрэлт хэрэггүй. Мөн B28 ашиглах нь зөв — тохируулгын хаягдал орсон)</t>
  </si>
  <si>
    <t>C43 (Хавтаслалт — цөөн нүүрт автомат 0):</t>
  </si>
  <si>
    <t xml:space="preserve">  Хуучин: =IF(B10="Байхгүй",0,B5*B30)</t>
  </si>
  <si>
    <t xml:space="preserve">  Шинэ:  =IF(OR(B10="Байхгүй",B6&lt;=4),0,B5*B30)</t>
  </si>
  <si>
    <t xml:space="preserve">  (4 нүүр ва түүнээс цөөн бол хавтаслалт хэрэггүй)</t>
  </si>
  <si>
    <t>Тайлбар текстүүд засах:</t>
  </si>
  <si>
    <t xml:space="preserve">  B37 (Машин тайлбар):</t>
  </si>
  <si>
    <t xml:space="preserve">  Хуучин: =B25&amp;" бацт × "&amp;B26&amp;" тал"</t>
  </si>
  <si>
    <t xml:space="preserve">  Шинэ:  =B25*B26&amp;" бацт × "&amp;TEXT('🔧 Хэвлэл Админ'!B10,"#,##0")&amp;"₮"</t>
  </si>
  <si>
    <t xml:space="preserve">  D37 (Машин дэлгэрэнгүй тайлбар):</t>
  </si>
  <si>
    <t xml:space="preserve">  B39 (Хавтсын хавтан тайлбар):</t>
  </si>
  <si>
    <t xml:space="preserve">  Шинэ:  =IF(OR(B10="Байхгүй",B6&lt;=4),"-",'🔧 Хэвлэл Админ'!B9*B26&amp;" хавтан")</t>
  </si>
  <si>
    <t xml:space="preserve">  B40 (Хавтсын машин тайлбар):</t>
  </si>
  <si>
    <t xml:space="preserve">  Шинэ:  =IF(OR(B10="Байхгүй",B6&lt;=4),"-",B26&amp;" бацт")</t>
  </si>
  <si>
    <t>═══ ТЕСТ КЕЙСҮҮД (Зассаны дараа шалгах) ═══</t>
  </si>
  <si>
    <t>Тест 1: A4 флаер (1 хуудас, ар өвөргүй)</t>
  </si>
  <si>
    <t xml:space="preserve">  Оруулах: B5=500, B6=2, B7=A4, B8=Шохойтой 128гр, B9=Өнгөт(4+4), B10=Байхгүй, B11=25%</t>
  </si>
  <si>
    <t xml:space="preserve">  Finishing: B15=Үгүй, B16=Үгүй, B17-20=Үгүй</t>
  </si>
  <si>
    <t xml:space="preserve">  Хүлээгдэх үр дүн:</t>
  </si>
  <si>
    <t xml:space="preserve">    Бацт=1, Нүүр/Бацт=4, Хавтан=8 (1×4×2), Машин=1×2×35000=70000</t>
  </si>
  <si>
    <t xml:space="preserve">    Хуудас=CEILING(500×(2/4)×1.05)+1×50=313, Цаас=313×110=34430</t>
  </si>
  <si>
    <t xml:space="preserve">    Бүрэлт=0 (цөөн нүүр), Хавтаслалт=0, Хавтсын хавтан/машин/цаас=0</t>
  </si>
  <si>
    <t xml:space="preserve">    Нийт зардал = 28000(хавтан) + 70000(машин) + 34430(цаас) = 132,430₮</t>
  </si>
  <si>
    <t>Тест 2: A5 8 нүүр брошур (нүүр бага → хавтастай)</t>
  </si>
  <si>
    <t xml:space="preserve">  Оруулах: B5=200, B6=8, B7=A5, B8=Шохойтой 105гр, B9=Өнгөт(4+4), B10=Зөөлөн хавтас</t>
  </si>
  <si>
    <t xml:space="preserve">    Нүүр/Бацт=8, Бацт=1, Хавтан=8 (1×4×2), Машин=1×2×35000=70000</t>
  </si>
  <si>
    <t xml:space="preserve">    Хуудас=CEILING(200×(8/8)×1.05)+1×50=260, Цаас=260×85=22100</t>
  </si>
  <si>
    <t xml:space="preserve">    Бүрэлт=260×100=26000 (нүүр=8 &gt; нүүр/бацт=8 → тэнцүү → 0. Гэхдээ B6&lt;=B24 бол 0 байх ёстой.)</t>
  </si>
  <si>
    <t xml:space="preserve">    ТЭМДЭГЛЭЛ: B6&lt;=B24 (8&lt;=8=үнэн) бол бүрэлт=0. B6&gt;B24 бол бүрэлт тооцоолно.</t>
  </si>
  <si>
    <t xml:space="preserve">    Хавтаслалт = 200×1200 = 240000 (нүүр=8&gt;4 → хавтастай)</t>
  </si>
  <si>
    <t>Тест 3: A6 флаер (хамгийн жижиг)</t>
  </si>
  <si>
    <t xml:space="preserve">  Оруулах: B5=1000, B6=2, B7=A6, B8=Шохойтой 128гр, B9=Өнгөт(4+4), B10=Байхгүй</t>
  </si>
  <si>
    <t xml:space="preserve">    Нүүр/Бацт=16, Бацт=1, Хавтан=8 (1×4×2), Машин=1×2×35000=70000</t>
  </si>
  <si>
    <t xml:space="preserve">    Хуудас=CEILING(1000×(2/16)×1.05)+1×50=182, Цаас=182×110=20020</t>
  </si>
  <si>
    <t xml:space="preserve">    Бүрэлт=0, Хавтаслалт=0, Хавтсын зардал=0</t>
  </si>
  <si>
    <t xml:space="preserve">    Нийт = 28000+70000+20020 = 118,020₮</t>
  </si>
  <si>
    <t>Тест 4: A3 64 нүүр ном (одоогийн жишээ — зөв ажиллаж байгааг шалгах)</t>
  </si>
  <si>
    <t xml:space="preserve">  Оруулах: B5=500, B6=64, B7=A3, B8=Шохойтой 80гр, B9=Өнгөт(4+4), B10=Зөөлөн хавтас, B16=Тийм</t>
  </si>
  <si>
    <t xml:space="preserve">  Шалгах: Машин = 32×2×35000 = 2,240,000₮ (өмнөх 1,120,000 биш!)</t>
  </si>
  <si>
    <t xml:space="preserve">  Хавтсын хавтан = 4×2×3500 = 28,000₮ (Ижил үр дүн, зөв)</t>
  </si>
  <si>
    <t xml:space="preserve">  Бүрэлт = байх ёстой (64 &gt; 2 = нүүр/бацт)</t>
  </si>
  <si>
    <t xml:space="preserve">  Хавтаслалт = байх ёстой (64 &gt; 4)</t>
  </si>
  <si>
    <t>═══ ЧУХАЛ ЗААВАР ═══</t>
  </si>
  <si>
    <t>• Зөвхөн формула засна, шинэ мөр НЭМЭХГҮЙ. Одоо байгаа бүтэц хэвээр үлдэнэ.</t>
  </si>
  <si>
    <t>• Dropdown-ууд өөрчлөхгүй. Байрлал, формат өөрчлөхгүй.</t>
  </si>
  <si>
    <t>• Админ шийтэд B12 нэмэхдээ одоо байгаа дата байгаа эсэхийг шалга — доош шилжүүлэхгүй.</t>
  </si>
  <si>
    <t>• B37 тайлбар текстийг бодит үр дүнтэй тохируул.</t>
  </si>
  <si>
    <t>• Тест 1-4-ийг ажиллуулж, үр дүн түүнийг батла.</t>
  </si>
  <si>
    <t>• allow_overwrite=true ашигла — формула дарж бичнэ.</t>
  </si>
  <si>
    <t>ПРОМПТ ТӨГӨСГӨЛ</t>
  </si>
  <si>
    <t>Тохируулгын хаягдал (хуудас/бацт)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</si>
</sst>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FF6600"/>
      <name val="Aptos Narrow"/>
      <family val="2"/>
      <scheme val="minor"/>
    </font>
    <font>
      <b/>
      <sz val="16"/>
      <color rgb="FFFF6600"/>
      <name val="Aptos Narrow"/>
      <family val="2"/>
      <scheme val="minor"/>
    </font>
    <font>
      <sz val="10"/>
      <color rgb="FF88888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9"/>
      <color rgb="FF88888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1"/>
      <color rgb="FF666666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14"/>
      <color rgb="FFFF6600"/>
      <name val="Aptos Narrow"/>
      <family val="2"/>
      <scheme val="minor"/>
    </font>
    <font>
      <b/>
      <sz val="11"/>
      <color rgb="FFFF6600"/>
      <name val="Aptos Narrow"/>
      <family val="2"/>
      <scheme val="minor"/>
    </font>
    <font>
      <sz val="11"/>
      <color rgb="FFCCCCCC"/>
      <name val="Aptos Narrow"/>
      <family val="2"/>
      <scheme val="minor"/>
    </font>
    <font>
      <b/>
      <sz val="12"/>
      <color rgb="FFFF6600"/>
      <name val="Aptos Narrow"/>
      <family val="2"/>
      <scheme val="minor"/>
    </font>
    <font>
      <b/>
      <sz val="11"/>
      <color rgb="FF444444"/>
      <name val="Aptos Narrow"/>
      <family val="2"/>
      <scheme val="minor"/>
    </font>
    <font>
      <b/>
      <sz val="11"/>
      <color rgb="FFCC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FF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0" fillId="2" borderId="0" xfId="0" applyFill="1"/>
    <xf numFmtId="9" fontId="2" fillId="0" borderId="0" xfId="0" applyNumberFormat="1" applyFont="1"/>
    <xf numFmtId="0" fontId="9" fillId="0" borderId="0" xfId="0" applyFont="1"/>
    <xf numFmtId="3" fontId="2" fillId="0" borderId="0" xfId="0" applyNumberFormat="1" applyFont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9" fontId="2" fillId="0" borderId="0" xfId="0" applyNumberFormat="1" applyFont="1" applyAlignment="1">
      <alignment horizontal="center"/>
    </xf>
    <xf numFmtId="0" fontId="8" fillId="4" borderId="0" xfId="0" applyFont="1" applyFill="1"/>
    <xf numFmtId="0" fontId="0" fillId="4" borderId="0" xfId="0" applyFill="1"/>
    <xf numFmtId="0" fontId="4" fillId="0" borderId="0" xfId="0" applyFont="1"/>
    <xf numFmtId="0" fontId="4" fillId="5" borderId="0" xfId="0" applyFont="1" applyFill="1"/>
    <xf numFmtId="3" fontId="4" fillId="5" borderId="0" xfId="0" applyNumberFormat="1" applyFont="1" applyFill="1"/>
    <xf numFmtId="9" fontId="4" fillId="5" borderId="0" xfId="0" applyNumberFormat="1" applyFont="1" applyFill="1"/>
    <xf numFmtId="0" fontId="2" fillId="5" borderId="0" xfId="0" applyFont="1" applyFill="1"/>
    <xf numFmtId="0" fontId="8" fillId="3" borderId="0" xfId="0" applyFont="1" applyFill="1"/>
    <xf numFmtId="0" fontId="12" fillId="0" borderId="0" xfId="0" applyFont="1"/>
    <xf numFmtId="0" fontId="13" fillId="0" borderId="0" xfId="0" applyFont="1"/>
    <xf numFmtId="0" fontId="9" fillId="0" borderId="0" xfId="0" quotePrefix="1" applyFont="1"/>
    <xf numFmtId="0" fontId="10" fillId="3" borderId="0" xfId="0" applyFont="1" applyFill="1" applyAlignment="1">
      <alignment horizontal="right"/>
    </xf>
    <xf numFmtId="0" fontId="13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14" fillId="0" borderId="0" xfId="0" applyFont="1"/>
    <xf numFmtId="3" fontId="14" fillId="0" borderId="0" xfId="0" applyNumberFormat="1" applyFont="1" applyAlignment="1">
      <alignment horizontal="right"/>
    </xf>
    <xf numFmtId="0" fontId="15" fillId="0" borderId="0" xfId="0" applyFont="1"/>
    <xf numFmtId="3" fontId="15" fillId="0" borderId="0" xfId="0" applyNumberFormat="1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4" fillId="5" borderId="0" xfId="0" quotePrefix="1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3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264F02-5DDD-4098-B5A1-49D6DB1C719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160c2f4-4408-40a0-ad5a-7d62617c274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9C43-AB8B-4A39-95A0-73553AF78BF4}">
  <dimension ref="A1:F95"/>
  <sheetViews>
    <sheetView workbookViewId="0"/>
  </sheetViews>
  <sheetFormatPr defaultRowHeight="15" x14ac:dyDescent="0.25"/>
  <cols>
    <col min="1" max="1" width="48.42578125" bestFit="1" customWidth="1"/>
    <col min="2" max="2" width="34.28515625" customWidth="1"/>
    <col min="3" max="3" width="22.85546875" customWidth="1"/>
    <col min="4" max="4" width="34.28515625" customWidth="1"/>
    <col min="5" max="6" width="17.140625" customWidth="1"/>
  </cols>
  <sheetData>
    <row r="1" spans="1:5" ht="21" x14ac:dyDescent="0.35">
      <c r="A1" s="7">
        <v>1</v>
      </c>
    </row>
    <row r="2" spans="1:5" x14ac:dyDescent="0.25">
      <c r="A2" s="8" t="s">
        <v>41</v>
      </c>
    </row>
    <row r="4" spans="1:5" ht="15.75" x14ac:dyDescent="0.25">
      <c r="A4" s="9" t="s">
        <v>42</v>
      </c>
      <c r="B4" s="10"/>
      <c r="C4" s="10"/>
      <c r="D4" s="10"/>
    </row>
    <row r="5" spans="1:5" x14ac:dyDescent="0.25">
      <c r="A5" s="1" t="s">
        <v>19</v>
      </c>
      <c r="B5" s="11">
        <v>0.1</v>
      </c>
      <c r="C5" s="12" t="s">
        <v>43</v>
      </c>
    </row>
    <row r="6" spans="1:5" x14ac:dyDescent="0.25">
      <c r="A6" s="1" t="s">
        <v>44</v>
      </c>
      <c r="B6" s="11">
        <v>0.25</v>
      </c>
      <c r="C6" s="12" t="s">
        <v>45</v>
      </c>
    </row>
    <row r="7" spans="1:5" x14ac:dyDescent="0.25">
      <c r="A7" s="1" t="s">
        <v>46</v>
      </c>
      <c r="B7" s="11">
        <v>0.05</v>
      </c>
      <c r="C7" s="12" t="s">
        <v>47</v>
      </c>
    </row>
    <row r="8" spans="1:5" x14ac:dyDescent="0.25">
      <c r="A8" s="1" t="s">
        <v>48</v>
      </c>
      <c r="B8" s="13">
        <v>3500</v>
      </c>
      <c r="C8" s="12" t="s">
        <v>49</v>
      </c>
    </row>
    <row r="9" spans="1:5" x14ac:dyDescent="0.25">
      <c r="A9" s="1" t="s">
        <v>50</v>
      </c>
      <c r="B9" s="11">
        <v>4</v>
      </c>
      <c r="C9" s="12" t="s">
        <v>51</v>
      </c>
    </row>
    <row r="10" spans="1:5" x14ac:dyDescent="0.25">
      <c r="A10" s="1" t="s">
        <v>52</v>
      </c>
      <c r="B10" s="13">
        <v>35000</v>
      </c>
      <c r="C10" s="12" t="s">
        <v>53</v>
      </c>
    </row>
    <row r="11" spans="1:5" x14ac:dyDescent="0.25">
      <c r="A11" s="1" t="s">
        <v>54</v>
      </c>
      <c r="B11" s="13">
        <v>100</v>
      </c>
      <c r="C11" s="12" t="s">
        <v>55</v>
      </c>
    </row>
    <row r="12" spans="1:5" x14ac:dyDescent="0.25">
      <c r="A12" s="52" t="s">
        <v>421</v>
      </c>
      <c r="B12" s="53">
        <v>50</v>
      </c>
    </row>
    <row r="13" spans="1:5" ht="15.75" x14ac:dyDescent="0.25">
      <c r="A13" s="9" t="s">
        <v>213</v>
      </c>
      <c r="B13" s="10"/>
      <c r="C13" s="10"/>
      <c r="D13" s="10"/>
      <c r="E13" s="10"/>
    </row>
    <row r="14" spans="1:5" x14ac:dyDescent="0.25">
      <c r="A14" s="15" t="s">
        <v>56</v>
      </c>
      <c r="B14" s="14" t="s">
        <v>214</v>
      </c>
      <c r="C14" s="16" t="s">
        <v>58</v>
      </c>
      <c r="D14" s="15" t="s">
        <v>59</v>
      </c>
      <c r="E14" s="14" t="s">
        <v>215</v>
      </c>
    </row>
    <row r="15" spans="1:5" x14ac:dyDescent="0.25">
      <c r="A15" s="2">
        <v>1</v>
      </c>
      <c r="B15" t="s">
        <v>216</v>
      </c>
      <c r="C15" s="2">
        <v>80</v>
      </c>
      <c r="D15" s="18">
        <v>60</v>
      </c>
    </row>
    <row r="16" spans="1:5" x14ac:dyDescent="0.25">
      <c r="A16" s="2">
        <v>2</v>
      </c>
      <c r="B16" t="s">
        <v>216</v>
      </c>
      <c r="C16" s="2">
        <v>90</v>
      </c>
      <c r="D16" s="18">
        <v>70</v>
      </c>
    </row>
    <row r="17" spans="1:4" x14ac:dyDescent="0.25">
      <c r="A17" s="2">
        <v>3</v>
      </c>
      <c r="B17" t="s">
        <v>216</v>
      </c>
      <c r="C17" s="2">
        <v>105</v>
      </c>
      <c r="D17" s="18">
        <v>85</v>
      </c>
    </row>
    <row r="18" spans="1:4" x14ac:dyDescent="0.25">
      <c r="A18" s="2">
        <v>4</v>
      </c>
      <c r="B18" t="s">
        <v>216</v>
      </c>
      <c r="C18" s="2">
        <v>128</v>
      </c>
      <c r="D18" s="18">
        <v>110</v>
      </c>
    </row>
    <row r="19" spans="1:4" x14ac:dyDescent="0.25">
      <c r="A19" s="2">
        <v>5</v>
      </c>
      <c r="B19" t="s">
        <v>216</v>
      </c>
      <c r="C19" s="2">
        <v>157</v>
      </c>
      <c r="D19" s="18">
        <v>145</v>
      </c>
    </row>
    <row r="20" spans="1:4" x14ac:dyDescent="0.25">
      <c r="A20" s="2">
        <v>6</v>
      </c>
      <c r="B20" t="s">
        <v>216</v>
      </c>
      <c r="C20" s="2">
        <v>200</v>
      </c>
      <c r="D20" s="18">
        <v>200</v>
      </c>
    </row>
    <row r="21" spans="1:4" x14ac:dyDescent="0.25">
      <c r="A21" s="2">
        <v>7</v>
      </c>
      <c r="B21" t="s">
        <v>216</v>
      </c>
      <c r="C21" s="2">
        <v>250</v>
      </c>
      <c r="D21" s="18">
        <v>280</v>
      </c>
    </row>
    <row r="22" spans="1:4" x14ac:dyDescent="0.25">
      <c r="A22" s="2">
        <v>8</v>
      </c>
      <c r="B22" t="s">
        <v>216</v>
      </c>
      <c r="C22" s="2">
        <v>300</v>
      </c>
      <c r="D22" s="18">
        <v>350</v>
      </c>
    </row>
    <row r="23" spans="1:4" x14ac:dyDescent="0.25">
      <c r="A23" s="2">
        <v>9</v>
      </c>
      <c r="B23" t="s">
        <v>217</v>
      </c>
      <c r="C23" s="2">
        <v>80</v>
      </c>
      <c r="D23" s="18">
        <v>65</v>
      </c>
    </row>
    <row r="24" spans="1:4" x14ac:dyDescent="0.25">
      <c r="A24" s="2">
        <v>10</v>
      </c>
      <c r="B24" t="s">
        <v>217</v>
      </c>
      <c r="C24" s="2">
        <v>90</v>
      </c>
      <c r="D24" s="18">
        <v>75</v>
      </c>
    </row>
    <row r="25" spans="1:4" x14ac:dyDescent="0.25">
      <c r="A25" s="2">
        <v>11</v>
      </c>
      <c r="B25" t="s">
        <v>217</v>
      </c>
      <c r="C25" s="2">
        <v>105</v>
      </c>
      <c r="D25" s="18">
        <v>90</v>
      </c>
    </row>
    <row r="26" spans="1:4" x14ac:dyDescent="0.25">
      <c r="A26" s="2">
        <v>12</v>
      </c>
      <c r="B26" t="s">
        <v>217</v>
      </c>
      <c r="C26" s="2">
        <v>128</v>
      </c>
      <c r="D26" s="18">
        <v>115</v>
      </c>
    </row>
    <row r="27" spans="1:4" x14ac:dyDescent="0.25">
      <c r="A27" s="2">
        <v>13</v>
      </c>
      <c r="B27" t="s">
        <v>217</v>
      </c>
      <c r="C27" s="2">
        <v>157</v>
      </c>
      <c r="D27" s="18">
        <v>150</v>
      </c>
    </row>
    <row r="28" spans="1:4" x14ac:dyDescent="0.25">
      <c r="A28" s="2">
        <v>14</v>
      </c>
      <c r="B28" t="s">
        <v>217</v>
      </c>
      <c r="C28" s="2">
        <v>200</v>
      </c>
      <c r="D28" s="18">
        <v>210</v>
      </c>
    </row>
    <row r="29" spans="1:4" x14ac:dyDescent="0.25">
      <c r="A29" s="2">
        <v>15</v>
      </c>
      <c r="B29" t="s">
        <v>217</v>
      </c>
      <c r="C29" s="2">
        <v>250</v>
      </c>
      <c r="D29" s="18">
        <v>290</v>
      </c>
    </row>
    <row r="30" spans="1:4" x14ac:dyDescent="0.25">
      <c r="A30" s="2">
        <v>16</v>
      </c>
      <c r="B30" t="s">
        <v>217</v>
      </c>
      <c r="C30" s="2">
        <v>300</v>
      </c>
      <c r="D30" s="18">
        <v>360</v>
      </c>
    </row>
    <row r="31" spans="1:4" x14ac:dyDescent="0.25">
      <c r="A31" s="2">
        <v>17</v>
      </c>
      <c r="B31" t="s">
        <v>218</v>
      </c>
      <c r="C31" s="2">
        <v>68</v>
      </c>
      <c r="D31" s="18">
        <v>45</v>
      </c>
    </row>
    <row r="32" spans="1:4" x14ac:dyDescent="0.25">
      <c r="A32" s="2">
        <v>18</v>
      </c>
      <c r="B32" t="s">
        <v>218</v>
      </c>
      <c r="C32" s="2">
        <v>78</v>
      </c>
      <c r="D32" s="18">
        <v>55</v>
      </c>
    </row>
    <row r="33" spans="1:4" x14ac:dyDescent="0.25">
      <c r="A33" s="2">
        <v>19</v>
      </c>
      <c r="B33" t="s">
        <v>219</v>
      </c>
      <c r="C33" s="2">
        <v>70</v>
      </c>
      <c r="D33" s="18">
        <v>50</v>
      </c>
    </row>
    <row r="34" spans="1:4" x14ac:dyDescent="0.25">
      <c r="A34" s="2">
        <v>20</v>
      </c>
      <c r="B34" t="s">
        <v>219</v>
      </c>
      <c r="C34" s="2">
        <v>80</v>
      </c>
      <c r="D34" s="18">
        <v>55</v>
      </c>
    </row>
    <row r="35" spans="1:4" x14ac:dyDescent="0.25">
      <c r="A35" s="2">
        <v>21</v>
      </c>
      <c r="B35" t="s">
        <v>220</v>
      </c>
      <c r="C35" s="2">
        <v>70</v>
      </c>
      <c r="D35" s="18">
        <v>50</v>
      </c>
    </row>
    <row r="36" spans="1:4" x14ac:dyDescent="0.25">
      <c r="A36" s="2">
        <v>22</v>
      </c>
      <c r="B36" t="s">
        <v>220</v>
      </c>
      <c r="C36" s="2">
        <v>80</v>
      </c>
      <c r="D36" s="18">
        <v>60</v>
      </c>
    </row>
    <row r="37" spans="1:4" x14ac:dyDescent="0.25">
      <c r="A37" s="2">
        <v>23</v>
      </c>
      <c r="B37" t="s">
        <v>220</v>
      </c>
      <c r="C37" s="2">
        <v>100</v>
      </c>
      <c r="D37" s="18">
        <v>80</v>
      </c>
    </row>
    <row r="38" spans="1:4" x14ac:dyDescent="0.25">
      <c r="A38" s="2">
        <v>24</v>
      </c>
      <c r="B38" t="s">
        <v>220</v>
      </c>
      <c r="C38" s="2">
        <v>120</v>
      </c>
      <c r="D38" s="18">
        <v>100</v>
      </c>
    </row>
    <row r="39" spans="1:4" x14ac:dyDescent="0.25">
      <c r="A39" s="2">
        <v>25</v>
      </c>
      <c r="B39" t="s">
        <v>221</v>
      </c>
      <c r="C39" s="2">
        <v>48</v>
      </c>
      <c r="D39" s="18">
        <v>35</v>
      </c>
    </row>
    <row r="40" spans="1:4" x14ac:dyDescent="0.25">
      <c r="A40" s="2">
        <v>26</v>
      </c>
      <c r="B40" t="s">
        <v>221</v>
      </c>
      <c r="C40" s="2">
        <v>50</v>
      </c>
      <c r="D40" s="18">
        <v>38</v>
      </c>
    </row>
    <row r="41" spans="1:4" x14ac:dyDescent="0.25">
      <c r="A41" s="2">
        <v>27</v>
      </c>
      <c r="B41" t="s">
        <v>222</v>
      </c>
      <c r="C41" s="2" t="s">
        <v>223</v>
      </c>
      <c r="D41" s="18">
        <v>800</v>
      </c>
    </row>
    <row r="42" spans="1:4" x14ac:dyDescent="0.25">
      <c r="A42" s="2">
        <v>28</v>
      </c>
      <c r="B42" t="s">
        <v>222</v>
      </c>
      <c r="C42" s="2" t="s">
        <v>224</v>
      </c>
      <c r="D42" s="18">
        <v>1000</v>
      </c>
    </row>
    <row r="43" spans="1:4" x14ac:dyDescent="0.25">
      <c r="A43" s="2">
        <v>29</v>
      </c>
      <c r="B43" t="s">
        <v>222</v>
      </c>
      <c r="C43" s="2" t="s">
        <v>225</v>
      </c>
      <c r="D43" s="18">
        <v>1200</v>
      </c>
    </row>
    <row r="44" spans="1:4" x14ac:dyDescent="0.25">
      <c r="A44" s="2">
        <v>30</v>
      </c>
      <c r="B44" t="s">
        <v>226</v>
      </c>
      <c r="C44" s="2">
        <v>250</v>
      </c>
      <c r="D44" s="18">
        <v>280</v>
      </c>
    </row>
    <row r="45" spans="1:4" x14ac:dyDescent="0.25">
      <c r="A45" s="2">
        <v>31</v>
      </c>
      <c r="B45" t="s">
        <v>226</v>
      </c>
      <c r="C45" s="2">
        <v>300</v>
      </c>
      <c r="D45" s="18">
        <v>350</v>
      </c>
    </row>
    <row r="46" spans="1:4" x14ac:dyDescent="0.25">
      <c r="A46" s="2">
        <v>32</v>
      </c>
      <c r="B46" t="s">
        <v>227</v>
      </c>
      <c r="C46" s="2" t="s">
        <v>228</v>
      </c>
      <c r="D46" s="18">
        <v>500</v>
      </c>
    </row>
    <row r="47" spans="1:4" x14ac:dyDescent="0.25">
      <c r="A47" s="2">
        <v>33</v>
      </c>
      <c r="B47" t="s">
        <v>227</v>
      </c>
      <c r="C47" s="2" t="s">
        <v>64</v>
      </c>
      <c r="D47" s="18">
        <v>350</v>
      </c>
    </row>
    <row r="49" spans="1:6" ht="15.75" x14ac:dyDescent="0.25">
      <c r="A49" s="9" t="s">
        <v>229</v>
      </c>
      <c r="B49" s="10"/>
      <c r="C49" s="10"/>
      <c r="D49" s="10"/>
      <c r="E49" s="10"/>
      <c r="F49" s="10"/>
    </row>
    <row r="50" spans="1:6" x14ac:dyDescent="0.25">
      <c r="A50" s="15" t="s">
        <v>56</v>
      </c>
      <c r="B50" s="15" t="s">
        <v>60</v>
      </c>
      <c r="C50" s="14" t="s">
        <v>57</v>
      </c>
      <c r="D50" s="15" t="s">
        <v>61</v>
      </c>
      <c r="E50" s="15" t="s">
        <v>62</v>
      </c>
      <c r="F50" s="15" t="s">
        <v>63</v>
      </c>
    </row>
    <row r="51" spans="1:6" x14ac:dyDescent="0.25">
      <c r="A51" s="2">
        <v>1</v>
      </c>
      <c r="B51" s="19" t="s">
        <v>64</v>
      </c>
      <c r="C51" t="s">
        <v>65</v>
      </c>
      <c r="D51" s="2">
        <v>297</v>
      </c>
      <c r="E51" s="2">
        <v>420</v>
      </c>
      <c r="F51" s="17">
        <v>2</v>
      </c>
    </row>
    <row r="52" spans="1:6" x14ac:dyDescent="0.25">
      <c r="A52" s="2">
        <v>2</v>
      </c>
      <c r="B52" s="19" t="s">
        <v>66</v>
      </c>
      <c r="C52" t="s">
        <v>67</v>
      </c>
      <c r="D52" s="2">
        <v>353</v>
      </c>
      <c r="E52" s="2">
        <v>500</v>
      </c>
      <c r="F52" s="17">
        <v>2</v>
      </c>
    </row>
    <row r="53" spans="1:6" x14ac:dyDescent="0.25">
      <c r="A53" s="2">
        <v>3</v>
      </c>
      <c r="B53" s="19" t="s">
        <v>68</v>
      </c>
      <c r="C53" t="s">
        <v>69</v>
      </c>
      <c r="D53" s="2">
        <v>210</v>
      </c>
      <c r="E53" s="2">
        <v>297</v>
      </c>
      <c r="F53" s="17">
        <v>4</v>
      </c>
    </row>
    <row r="54" spans="1:6" x14ac:dyDescent="0.25">
      <c r="A54" s="2">
        <v>4</v>
      </c>
      <c r="B54" s="19" t="s">
        <v>70</v>
      </c>
      <c r="C54" t="s">
        <v>71</v>
      </c>
      <c r="D54" s="2">
        <v>176</v>
      </c>
      <c r="E54" s="2">
        <v>250</v>
      </c>
      <c r="F54" s="17">
        <v>8</v>
      </c>
    </row>
    <row r="55" spans="1:6" x14ac:dyDescent="0.25">
      <c r="A55" s="2">
        <v>5</v>
      </c>
      <c r="B55" s="19" t="s">
        <v>72</v>
      </c>
      <c r="C55" t="s">
        <v>73</v>
      </c>
      <c r="D55" s="2">
        <v>148</v>
      </c>
      <c r="E55" s="2">
        <v>210</v>
      </c>
      <c r="F55" s="17">
        <v>8</v>
      </c>
    </row>
    <row r="56" spans="1:6" x14ac:dyDescent="0.25">
      <c r="A56" s="2">
        <v>6</v>
      </c>
      <c r="B56" s="19" t="s">
        <v>74</v>
      </c>
      <c r="C56" t="s">
        <v>75</v>
      </c>
      <c r="D56" s="2">
        <v>105</v>
      </c>
      <c r="E56" s="2">
        <v>148</v>
      </c>
      <c r="F56" s="17">
        <v>16</v>
      </c>
    </row>
    <row r="57" spans="1:6" x14ac:dyDescent="0.25">
      <c r="A57" s="2">
        <v>7</v>
      </c>
      <c r="B57" s="19" t="s">
        <v>76</v>
      </c>
      <c r="C57" t="s">
        <v>77</v>
      </c>
      <c r="D57" s="2">
        <v>700</v>
      </c>
      <c r="E57" s="2">
        <v>1000</v>
      </c>
      <c r="F57" s="17">
        <v>1</v>
      </c>
    </row>
    <row r="58" spans="1:6" x14ac:dyDescent="0.25">
      <c r="A58" s="2">
        <v>8</v>
      </c>
      <c r="B58" s="19" t="s">
        <v>78</v>
      </c>
      <c r="C58" t="s">
        <v>79</v>
      </c>
      <c r="D58" s="17">
        <v>0</v>
      </c>
      <c r="E58" s="17">
        <v>0</v>
      </c>
      <c r="F58" s="17">
        <v>2</v>
      </c>
    </row>
    <row r="60" spans="1:6" ht="15.75" x14ac:dyDescent="0.25">
      <c r="A60" s="9" t="s">
        <v>230</v>
      </c>
      <c r="B60" s="10"/>
      <c r="C60" s="10"/>
      <c r="D60" s="10"/>
    </row>
    <row r="61" spans="1:6" x14ac:dyDescent="0.25">
      <c r="A61" s="15" t="s">
        <v>56</v>
      </c>
      <c r="B61" s="15" t="s">
        <v>231</v>
      </c>
      <c r="C61" s="15" t="s">
        <v>232</v>
      </c>
      <c r="D61" s="15" t="s">
        <v>80</v>
      </c>
    </row>
    <row r="62" spans="1:6" x14ac:dyDescent="0.25">
      <c r="A62" s="2">
        <v>1</v>
      </c>
      <c r="B62" t="s">
        <v>233</v>
      </c>
      <c r="C62" s="17">
        <v>2</v>
      </c>
      <c r="D62" t="s">
        <v>234</v>
      </c>
    </row>
    <row r="63" spans="1:6" x14ac:dyDescent="0.25">
      <c r="A63" s="2">
        <v>2</v>
      </c>
      <c r="B63" t="s">
        <v>235</v>
      </c>
      <c r="C63" s="17">
        <v>1</v>
      </c>
      <c r="D63" t="s">
        <v>236</v>
      </c>
    </row>
    <row r="64" spans="1:6" x14ac:dyDescent="0.25">
      <c r="A64" s="2">
        <v>3</v>
      </c>
      <c r="B64" t="s">
        <v>237</v>
      </c>
      <c r="C64" s="17">
        <v>2</v>
      </c>
      <c r="D64" t="s">
        <v>238</v>
      </c>
    </row>
    <row r="65" spans="1:4" x14ac:dyDescent="0.25">
      <c r="A65" s="2">
        <v>4</v>
      </c>
      <c r="B65" t="s">
        <v>239</v>
      </c>
      <c r="C65" s="17">
        <v>1</v>
      </c>
      <c r="D65" t="s">
        <v>240</v>
      </c>
    </row>
    <row r="67" spans="1:4" ht="15.75" x14ac:dyDescent="0.25">
      <c r="A67" s="9" t="s">
        <v>82</v>
      </c>
      <c r="B67" s="10"/>
      <c r="C67" s="10"/>
      <c r="D67" s="10"/>
    </row>
    <row r="68" spans="1:4" x14ac:dyDescent="0.25">
      <c r="A68" s="15" t="s">
        <v>56</v>
      </c>
      <c r="B68" s="14" t="s">
        <v>172</v>
      </c>
      <c r="C68" s="15" t="s">
        <v>241</v>
      </c>
      <c r="D68" s="15" t="s">
        <v>242</v>
      </c>
    </row>
    <row r="69" spans="1:4" x14ac:dyDescent="0.25">
      <c r="A69" s="2">
        <v>1</v>
      </c>
      <c r="B69" t="s">
        <v>38</v>
      </c>
      <c r="C69" s="45">
        <v>0</v>
      </c>
      <c r="D69" t="s">
        <v>83</v>
      </c>
    </row>
    <row r="70" spans="1:4" x14ac:dyDescent="0.25">
      <c r="A70" s="2">
        <v>2</v>
      </c>
      <c r="B70" t="s">
        <v>84</v>
      </c>
      <c r="C70" s="18">
        <v>1200</v>
      </c>
      <c r="D70" s="17">
        <v>250</v>
      </c>
    </row>
    <row r="71" spans="1:4" x14ac:dyDescent="0.25">
      <c r="A71" s="2">
        <v>3</v>
      </c>
      <c r="B71" t="s">
        <v>85</v>
      </c>
      <c r="C71" s="18">
        <v>3500</v>
      </c>
      <c r="D71" s="17" t="s">
        <v>243</v>
      </c>
    </row>
    <row r="72" spans="1:4" x14ac:dyDescent="0.25">
      <c r="A72" s="2">
        <v>4</v>
      </c>
      <c r="B72" t="s">
        <v>86</v>
      </c>
      <c r="C72" s="18">
        <v>2000</v>
      </c>
      <c r="D72" t="s">
        <v>83</v>
      </c>
    </row>
    <row r="73" spans="1:4" x14ac:dyDescent="0.25">
      <c r="A73" s="2">
        <v>5</v>
      </c>
      <c r="B73" t="s">
        <v>244</v>
      </c>
      <c r="C73" s="18">
        <v>500</v>
      </c>
      <c r="D73" t="s">
        <v>83</v>
      </c>
    </row>
    <row r="75" spans="1:4" ht="15.75" x14ac:dyDescent="0.25">
      <c r="A75" s="9" t="s">
        <v>245</v>
      </c>
      <c r="B75" s="10"/>
      <c r="C75" s="10"/>
      <c r="D75" s="10"/>
    </row>
    <row r="76" spans="1:4" x14ac:dyDescent="0.25">
      <c r="A76" s="15" t="s">
        <v>56</v>
      </c>
      <c r="B76" s="14" t="s">
        <v>246</v>
      </c>
      <c r="C76" s="15" t="s">
        <v>59</v>
      </c>
      <c r="D76" s="14" t="s">
        <v>80</v>
      </c>
    </row>
    <row r="77" spans="1:4" x14ac:dyDescent="0.25">
      <c r="A77" s="2">
        <v>1</v>
      </c>
      <c r="B77" t="s">
        <v>87</v>
      </c>
      <c r="C77" s="18">
        <v>80</v>
      </c>
      <c r="D77" t="s">
        <v>247</v>
      </c>
    </row>
    <row r="78" spans="1:4" x14ac:dyDescent="0.25">
      <c r="A78" s="2">
        <v>2</v>
      </c>
      <c r="B78" t="s">
        <v>88</v>
      </c>
      <c r="C78" s="18">
        <v>90</v>
      </c>
      <c r="D78" t="s">
        <v>247</v>
      </c>
    </row>
    <row r="79" spans="1:4" x14ac:dyDescent="0.25">
      <c r="A79" s="2">
        <v>3</v>
      </c>
      <c r="B79" t="s">
        <v>89</v>
      </c>
      <c r="C79" s="18">
        <v>120</v>
      </c>
    </row>
    <row r="80" spans="1:4" x14ac:dyDescent="0.25">
      <c r="A80" s="2">
        <v>4</v>
      </c>
      <c r="B80" t="s">
        <v>90</v>
      </c>
      <c r="C80" s="18">
        <v>150</v>
      </c>
    </row>
    <row r="81" spans="1:4" x14ac:dyDescent="0.25">
      <c r="A81" s="2">
        <v>5</v>
      </c>
      <c r="B81" t="s">
        <v>91</v>
      </c>
      <c r="C81" s="18">
        <v>200</v>
      </c>
    </row>
    <row r="83" spans="1:4" ht="15.75" x14ac:dyDescent="0.25">
      <c r="A83" s="9" t="s">
        <v>248</v>
      </c>
      <c r="B83" s="10"/>
      <c r="C83" s="10"/>
    </row>
    <row r="84" spans="1:4" x14ac:dyDescent="0.25">
      <c r="A84" s="15" t="s">
        <v>56</v>
      </c>
      <c r="B84" s="14" t="s">
        <v>14</v>
      </c>
      <c r="C84" s="15" t="s">
        <v>249</v>
      </c>
    </row>
    <row r="85" spans="1:4" x14ac:dyDescent="0.25">
      <c r="A85" s="2">
        <v>1</v>
      </c>
      <c r="B85" t="s">
        <v>250</v>
      </c>
      <c r="C85" s="46">
        <v>0</v>
      </c>
    </row>
    <row r="86" spans="1:4" x14ac:dyDescent="0.25">
      <c r="A86" s="2">
        <v>2</v>
      </c>
      <c r="B86" t="s">
        <v>251</v>
      </c>
      <c r="C86" s="21">
        <v>0.15</v>
      </c>
    </row>
    <row r="87" spans="1:4" x14ac:dyDescent="0.25">
      <c r="A87" s="2">
        <v>3</v>
      </c>
      <c r="B87" t="s">
        <v>252</v>
      </c>
      <c r="C87" s="21">
        <v>0.3</v>
      </c>
    </row>
    <row r="89" spans="1:4" ht="15.75" x14ac:dyDescent="0.25">
      <c r="A89" s="9" t="s">
        <v>253</v>
      </c>
      <c r="B89" s="10"/>
      <c r="C89" s="10"/>
      <c r="D89" s="10"/>
    </row>
    <row r="90" spans="1:4" x14ac:dyDescent="0.25">
      <c r="A90" s="15" t="s">
        <v>56</v>
      </c>
      <c r="B90" s="14" t="s">
        <v>212</v>
      </c>
      <c r="C90" s="14" t="s">
        <v>254</v>
      </c>
      <c r="D90" s="15" t="s">
        <v>8</v>
      </c>
    </row>
    <row r="91" spans="1:4" x14ac:dyDescent="0.25">
      <c r="A91" s="2">
        <v>1</v>
      </c>
      <c r="B91" t="s">
        <v>255</v>
      </c>
      <c r="C91" t="s">
        <v>86</v>
      </c>
      <c r="D91" s="18">
        <v>0</v>
      </c>
    </row>
    <row r="92" spans="1:4" x14ac:dyDescent="0.25">
      <c r="A92" s="2">
        <v>2</v>
      </c>
      <c r="B92" t="s">
        <v>255</v>
      </c>
      <c r="C92" t="s">
        <v>256</v>
      </c>
      <c r="D92" s="18">
        <v>0</v>
      </c>
    </row>
    <row r="93" spans="1:4" x14ac:dyDescent="0.25">
      <c r="A93" s="2">
        <v>3</v>
      </c>
      <c r="B93" t="s">
        <v>255</v>
      </c>
      <c r="C93" t="s">
        <v>257</v>
      </c>
      <c r="D93" s="18">
        <v>0</v>
      </c>
    </row>
    <row r="94" spans="1:4" x14ac:dyDescent="0.25">
      <c r="A94" s="2">
        <v>4</v>
      </c>
      <c r="B94" t="s">
        <v>258</v>
      </c>
      <c r="C94" t="s">
        <v>259</v>
      </c>
      <c r="D94" s="18">
        <v>0</v>
      </c>
    </row>
    <row r="95" spans="1:4" x14ac:dyDescent="0.25">
      <c r="A95" s="2">
        <v>5</v>
      </c>
      <c r="B95" t="s">
        <v>258</v>
      </c>
      <c r="C95" t="s">
        <v>260</v>
      </c>
      <c r="D95" s="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6314-91B0-47C9-AA25-23C5B56B197A}">
  <dimension ref="A1:D36"/>
  <sheetViews>
    <sheetView workbookViewId="0"/>
  </sheetViews>
  <sheetFormatPr defaultRowHeight="15" x14ac:dyDescent="0.25"/>
  <cols>
    <col min="1" max="1" width="6.7109375" customWidth="1"/>
    <col min="2" max="2" width="34.28515625" customWidth="1"/>
    <col min="3" max="3" width="22.85546875" customWidth="1"/>
    <col min="4" max="4" width="38.140625" customWidth="1"/>
  </cols>
  <sheetData>
    <row r="1" spans="1:4" ht="21" x14ac:dyDescent="0.35">
      <c r="A1" s="7" t="s">
        <v>92</v>
      </c>
    </row>
    <row r="2" spans="1:4" x14ac:dyDescent="0.25">
      <c r="A2" s="8" t="s">
        <v>93</v>
      </c>
    </row>
    <row r="4" spans="1:4" ht="15.75" x14ac:dyDescent="0.25">
      <c r="A4" s="9" t="s">
        <v>94</v>
      </c>
      <c r="B4" s="10"/>
      <c r="C4" s="10"/>
      <c r="D4" s="10"/>
    </row>
    <row r="5" spans="1:4" x14ac:dyDescent="0.25">
      <c r="A5" s="15" t="s">
        <v>56</v>
      </c>
      <c r="B5" s="14" t="s">
        <v>57</v>
      </c>
      <c r="C5" s="15" t="s">
        <v>95</v>
      </c>
      <c r="D5" s="15" t="s">
        <v>96</v>
      </c>
    </row>
    <row r="6" spans="1:4" x14ac:dyDescent="0.25">
      <c r="A6" s="2">
        <v>1</v>
      </c>
      <c r="B6" t="s">
        <v>0</v>
      </c>
      <c r="C6" s="18">
        <v>850000</v>
      </c>
      <c r="D6" s="17">
        <v>0.25</v>
      </c>
    </row>
    <row r="7" spans="1:4" x14ac:dyDescent="0.25">
      <c r="A7" s="2">
        <v>2</v>
      </c>
      <c r="B7" t="s">
        <v>1</v>
      </c>
      <c r="C7" s="18">
        <v>1200000</v>
      </c>
      <c r="D7" s="17">
        <v>0.25</v>
      </c>
    </row>
    <row r="8" spans="1:4" x14ac:dyDescent="0.25">
      <c r="A8" s="2">
        <v>3</v>
      </c>
      <c r="B8" t="s">
        <v>2</v>
      </c>
      <c r="C8" s="18">
        <v>1500000</v>
      </c>
      <c r="D8" s="17">
        <v>0.25</v>
      </c>
    </row>
    <row r="9" spans="1:4" x14ac:dyDescent="0.25">
      <c r="A9" s="2">
        <v>4</v>
      </c>
      <c r="B9" t="s">
        <v>3</v>
      </c>
      <c r="C9" s="18">
        <v>2000000</v>
      </c>
      <c r="D9" s="17">
        <v>0.5</v>
      </c>
    </row>
    <row r="10" spans="1:4" x14ac:dyDescent="0.25">
      <c r="A10" s="2">
        <v>5</v>
      </c>
      <c r="B10" t="s">
        <v>4</v>
      </c>
      <c r="C10" s="18">
        <v>600000</v>
      </c>
      <c r="D10" s="17">
        <v>0.25</v>
      </c>
    </row>
    <row r="11" spans="1:4" x14ac:dyDescent="0.25">
      <c r="A11" s="2">
        <v>6</v>
      </c>
      <c r="B11" t="s">
        <v>5</v>
      </c>
      <c r="C11" s="18">
        <v>1000000</v>
      </c>
      <c r="D11" s="17">
        <v>0.25</v>
      </c>
    </row>
    <row r="12" spans="1:4" x14ac:dyDescent="0.25">
      <c r="A12" s="2">
        <v>7</v>
      </c>
      <c r="B12" t="s">
        <v>6</v>
      </c>
      <c r="C12" s="18">
        <v>1800000</v>
      </c>
      <c r="D12" s="17">
        <v>0.5</v>
      </c>
    </row>
    <row r="13" spans="1:4" x14ac:dyDescent="0.25">
      <c r="A13" s="2">
        <v>8</v>
      </c>
      <c r="B13" t="s">
        <v>7</v>
      </c>
      <c r="C13" s="18">
        <v>1100000</v>
      </c>
      <c r="D13" s="17">
        <v>0.25</v>
      </c>
    </row>
    <row r="14" spans="1:4" x14ac:dyDescent="0.25">
      <c r="A14" s="2">
        <v>9</v>
      </c>
      <c r="B14" t="s">
        <v>97</v>
      </c>
      <c r="C14" s="18">
        <v>2500000</v>
      </c>
      <c r="D14" s="17">
        <v>0.5</v>
      </c>
    </row>
    <row r="16" spans="1:4" ht="15.75" x14ac:dyDescent="0.25">
      <c r="A16" s="9" t="s">
        <v>98</v>
      </c>
      <c r="B16" s="10"/>
      <c r="C16" s="10"/>
      <c r="D16" s="10"/>
    </row>
    <row r="17" spans="1:4" x14ac:dyDescent="0.25">
      <c r="A17" s="15" t="s">
        <v>56</v>
      </c>
      <c r="B17" s="14" t="s">
        <v>57</v>
      </c>
      <c r="C17" s="15" t="s">
        <v>8</v>
      </c>
      <c r="D17" s="14" t="s">
        <v>80</v>
      </c>
    </row>
    <row r="18" spans="1:4" x14ac:dyDescent="0.25">
      <c r="A18" s="2">
        <v>1</v>
      </c>
      <c r="B18" t="s">
        <v>99</v>
      </c>
      <c r="C18" s="18">
        <v>150000</v>
      </c>
      <c r="D18" t="s">
        <v>100</v>
      </c>
    </row>
    <row r="19" spans="1:4" x14ac:dyDescent="0.25">
      <c r="A19" s="2">
        <v>2</v>
      </c>
      <c r="B19" t="s">
        <v>101</v>
      </c>
      <c r="C19" s="18">
        <v>200000</v>
      </c>
      <c r="D19" t="s">
        <v>102</v>
      </c>
    </row>
    <row r="20" spans="1:4" x14ac:dyDescent="0.25">
      <c r="A20" s="2">
        <v>3</v>
      </c>
      <c r="B20" t="s">
        <v>103</v>
      </c>
      <c r="C20" s="18">
        <v>100000</v>
      </c>
      <c r="D20" t="s">
        <v>104</v>
      </c>
    </row>
    <row r="21" spans="1:4" x14ac:dyDescent="0.25">
      <c r="A21" s="2">
        <v>4</v>
      </c>
      <c r="B21" t="s">
        <v>9</v>
      </c>
      <c r="C21" s="18">
        <v>30000</v>
      </c>
      <c r="D21" t="s">
        <v>105</v>
      </c>
    </row>
    <row r="22" spans="1:4" x14ac:dyDescent="0.25">
      <c r="A22" s="2">
        <v>5</v>
      </c>
      <c r="B22" t="s">
        <v>106</v>
      </c>
      <c r="C22" s="18">
        <v>35000</v>
      </c>
      <c r="D22" t="s">
        <v>107</v>
      </c>
    </row>
    <row r="23" spans="1:4" x14ac:dyDescent="0.25">
      <c r="A23" s="2">
        <v>6</v>
      </c>
      <c r="B23" t="s">
        <v>10</v>
      </c>
      <c r="C23" s="18">
        <v>200000</v>
      </c>
      <c r="D23" t="s">
        <v>108</v>
      </c>
    </row>
    <row r="24" spans="1:4" x14ac:dyDescent="0.25">
      <c r="A24" s="2">
        <v>7</v>
      </c>
      <c r="B24" t="s">
        <v>11</v>
      </c>
      <c r="C24" s="18">
        <v>600000</v>
      </c>
      <c r="D24" t="s">
        <v>109</v>
      </c>
    </row>
    <row r="25" spans="1:4" x14ac:dyDescent="0.25">
      <c r="A25" s="2">
        <v>8</v>
      </c>
      <c r="B25" t="s">
        <v>12</v>
      </c>
      <c r="C25" s="18">
        <v>50000</v>
      </c>
      <c r="D25" t="s">
        <v>110</v>
      </c>
    </row>
    <row r="26" spans="1:4" x14ac:dyDescent="0.25">
      <c r="A26" s="2">
        <v>9</v>
      </c>
      <c r="B26" t="s">
        <v>13</v>
      </c>
      <c r="C26" s="18">
        <v>80000</v>
      </c>
      <c r="D26" t="s">
        <v>111</v>
      </c>
    </row>
    <row r="28" spans="1:4" ht="15.75" x14ac:dyDescent="0.25">
      <c r="A28" s="9" t="s">
        <v>112</v>
      </c>
      <c r="B28" s="10"/>
      <c r="C28" s="10"/>
      <c r="D28" s="10"/>
    </row>
    <row r="29" spans="1:4" x14ac:dyDescent="0.25">
      <c r="A29" s="15" t="s">
        <v>56</v>
      </c>
      <c r="B29" s="14" t="s">
        <v>57</v>
      </c>
      <c r="C29" s="15" t="s">
        <v>15</v>
      </c>
      <c r="D29" s="20"/>
    </row>
    <row r="30" spans="1:4" x14ac:dyDescent="0.25">
      <c r="A30" s="2">
        <v>1</v>
      </c>
      <c r="B30" t="s">
        <v>16</v>
      </c>
      <c r="C30" s="21">
        <v>0</v>
      </c>
    </row>
    <row r="31" spans="1:4" x14ac:dyDescent="0.25">
      <c r="A31" s="2">
        <v>2</v>
      </c>
      <c r="B31" t="s">
        <v>17</v>
      </c>
      <c r="C31" s="21">
        <v>0.15</v>
      </c>
    </row>
    <row r="32" spans="1:4" x14ac:dyDescent="0.25">
      <c r="A32" s="2">
        <v>3</v>
      </c>
      <c r="B32" t="s">
        <v>18</v>
      </c>
      <c r="C32" s="21">
        <v>0.3</v>
      </c>
    </row>
    <row r="34" spans="1:4" ht="15.75" x14ac:dyDescent="0.25">
      <c r="A34" s="9" t="s">
        <v>113</v>
      </c>
      <c r="B34" s="10"/>
      <c r="C34" s="10"/>
      <c r="D34" s="10"/>
    </row>
    <row r="35" spans="1:4" x14ac:dyDescent="0.25">
      <c r="A35" s="1" t="s">
        <v>19</v>
      </c>
      <c r="B35" s="11">
        <v>0.1</v>
      </c>
    </row>
    <row r="36" spans="1:4" x14ac:dyDescent="0.25">
      <c r="A36" s="1" t="s">
        <v>44</v>
      </c>
      <c r="B36" s="11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B492-0C85-4B2E-9391-180542729326}">
  <dimension ref="A1:D59"/>
  <sheetViews>
    <sheetView workbookViewId="0">
      <selection activeCell="D10" sqref="D10"/>
    </sheetView>
  </sheetViews>
  <sheetFormatPr defaultRowHeight="15" x14ac:dyDescent="0.25"/>
  <cols>
    <col min="1" max="1" width="38.140625" customWidth="1"/>
    <col min="2" max="2" width="30.42578125" customWidth="1"/>
    <col min="3" max="3" width="24.7109375" customWidth="1"/>
    <col min="4" max="4" width="41.85546875" customWidth="1"/>
  </cols>
  <sheetData>
    <row r="1" spans="1:4" ht="21" x14ac:dyDescent="0.35">
      <c r="A1" s="7" t="s">
        <v>114</v>
      </c>
    </row>
    <row r="2" spans="1:4" x14ac:dyDescent="0.25">
      <c r="A2" s="8" t="s">
        <v>115</v>
      </c>
    </row>
    <row r="4" spans="1:4" ht="15.75" x14ac:dyDescent="0.25">
      <c r="A4" s="22" t="s">
        <v>116</v>
      </c>
      <c r="B4" s="23"/>
      <c r="C4" s="23"/>
      <c r="D4" s="23"/>
    </row>
    <row r="5" spans="1:4" x14ac:dyDescent="0.25">
      <c r="A5" s="1" t="s">
        <v>117</v>
      </c>
      <c r="B5" s="26">
        <v>500</v>
      </c>
      <c r="C5" s="12" t="s">
        <v>118</v>
      </c>
    </row>
    <row r="6" spans="1:4" x14ac:dyDescent="0.25">
      <c r="A6" s="1" t="s">
        <v>119</v>
      </c>
      <c r="B6" s="25">
        <v>64</v>
      </c>
      <c r="C6" s="12" t="s">
        <v>120</v>
      </c>
    </row>
    <row r="7" spans="1:4" x14ac:dyDescent="0.25">
      <c r="A7" s="1" t="s">
        <v>121</v>
      </c>
      <c r="B7" s="25" t="s">
        <v>64</v>
      </c>
      <c r="C7" s="12" t="s">
        <v>122</v>
      </c>
    </row>
    <row r="8" spans="1:4" x14ac:dyDescent="0.25">
      <c r="A8" s="1" t="s">
        <v>123</v>
      </c>
      <c r="B8" s="25" t="s">
        <v>261</v>
      </c>
      <c r="C8" s="12" t="s">
        <v>122</v>
      </c>
    </row>
    <row r="9" spans="1:4" x14ac:dyDescent="0.25">
      <c r="A9" s="1" t="s">
        <v>39</v>
      </c>
      <c r="B9" s="25" t="s">
        <v>81</v>
      </c>
      <c r="C9" s="12" t="s">
        <v>122</v>
      </c>
    </row>
    <row r="10" spans="1:4" x14ac:dyDescent="0.25">
      <c r="A10" s="1" t="s">
        <v>124</v>
      </c>
      <c r="B10" s="47" t="s">
        <v>84</v>
      </c>
      <c r="C10" s="12" t="s">
        <v>122</v>
      </c>
    </row>
    <row r="11" spans="1:4" x14ac:dyDescent="0.25">
      <c r="A11" s="1" t="s">
        <v>125</v>
      </c>
      <c r="B11" s="27">
        <v>0.25</v>
      </c>
      <c r="C11" s="12" t="s">
        <v>126</v>
      </c>
    </row>
    <row r="12" spans="1:4" x14ac:dyDescent="0.25">
      <c r="A12" s="1" t="s">
        <v>26</v>
      </c>
      <c r="B12" s="25" t="s">
        <v>16</v>
      </c>
      <c r="C12" s="12" t="s">
        <v>122</v>
      </c>
    </row>
    <row r="14" spans="1:4" ht="15.75" x14ac:dyDescent="0.25">
      <c r="A14" s="22" t="s">
        <v>127</v>
      </c>
      <c r="B14" s="23"/>
      <c r="C14" s="23"/>
      <c r="D14" s="23"/>
    </row>
    <row r="15" spans="1:4" x14ac:dyDescent="0.25">
      <c r="A15" s="1" t="s">
        <v>128</v>
      </c>
      <c r="B15" s="28" t="s">
        <v>129</v>
      </c>
      <c r="C15" s="12" t="s">
        <v>130</v>
      </c>
    </row>
    <row r="16" spans="1:4" x14ac:dyDescent="0.25">
      <c r="A16" s="1" t="s">
        <v>131</v>
      </c>
      <c r="B16" s="28" t="s">
        <v>129</v>
      </c>
      <c r="C16" s="12" t="s">
        <v>130</v>
      </c>
    </row>
    <row r="17" spans="1:4" x14ac:dyDescent="0.25">
      <c r="A17" s="1" t="s">
        <v>132</v>
      </c>
      <c r="B17" s="28" t="s">
        <v>22</v>
      </c>
      <c r="C17" s="12" t="s">
        <v>133</v>
      </c>
    </row>
    <row r="18" spans="1:4" x14ac:dyDescent="0.25">
      <c r="A18" s="1" t="s">
        <v>134</v>
      </c>
      <c r="B18" s="28" t="s">
        <v>22</v>
      </c>
      <c r="C18" s="12" t="s">
        <v>130</v>
      </c>
    </row>
    <row r="19" spans="1:4" x14ac:dyDescent="0.25">
      <c r="A19" s="1" t="s">
        <v>135</v>
      </c>
      <c r="B19" s="28" t="s">
        <v>22</v>
      </c>
      <c r="C19" s="12" t="s">
        <v>130</v>
      </c>
    </row>
    <row r="20" spans="1:4" x14ac:dyDescent="0.25">
      <c r="A20" s="1" t="s">
        <v>136</v>
      </c>
      <c r="B20" s="28" t="s">
        <v>22</v>
      </c>
      <c r="C20" s="12" t="s">
        <v>130</v>
      </c>
    </row>
    <row r="21" spans="1:4" x14ac:dyDescent="0.25">
      <c r="A21" s="1" t="s">
        <v>137</v>
      </c>
      <c r="B21" s="28" t="s">
        <v>262</v>
      </c>
      <c r="C21" s="12" t="s">
        <v>138</v>
      </c>
    </row>
    <row r="23" spans="1:4" ht="15.75" x14ac:dyDescent="0.25">
      <c r="A23" s="29" t="s">
        <v>139</v>
      </c>
      <c r="B23" s="20"/>
      <c r="C23" s="20"/>
      <c r="D23" s="20"/>
    </row>
    <row r="24" spans="1:4" x14ac:dyDescent="0.25">
      <c r="A24" s="30" t="s">
        <v>140</v>
      </c>
      <c r="B24" s="3">
        <f>IFERROR(INDEX('🔧 Хэвлэл Админ'!F51:F58,MATCH(B7,'🔧 Хэвлэл Админ'!B51:B58,0)),2)</f>
        <v>2</v>
      </c>
      <c r="C24" s="12" t="s">
        <v>141</v>
      </c>
    </row>
    <row r="25" spans="1:4" x14ac:dyDescent="0.25">
      <c r="A25" s="31" t="s">
        <v>142</v>
      </c>
      <c r="B25" s="3">
        <f>CEILING(B6/B24,1)</f>
        <v>32</v>
      </c>
      <c r="C25" s="32" t="s">
        <v>143</v>
      </c>
    </row>
    <row r="26" spans="1:4" x14ac:dyDescent="0.25">
      <c r="A26" s="31" t="s">
        <v>144</v>
      </c>
      <c r="B26" s="3">
        <f>IFERROR(INDEX('🔧 Хэвлэл Админ'!C62:C65,MATCH(B9,'🔧 Хэвлэл Админ'!B62:B65,0)),2)</f>
        <v>2</v>
      </c>
      <c r="C26" s="32" t="s">
        <v>145</v>
      </c>
    </row>
    <row r="27" spans="1:4" x14ac:dyDescent="0.25">
      <c r="A27" s="31" t="s">
        <v>146</v>
      </c>
      <c r="B27" s="3">
        <f>B25*'🔧 Хэвлэл Админ'!B9*B26</f>
        <v>256</v>
      </c>
      <c r="C27" s="32" t="s">
        <v>147</v>
      </c>
    </row>
    <row r="28" spans="1:4" x14ac:dyDescent="0.25">
      <c r="A28" s="31" t="s">
        <v>148</v>
      </c>
      <c r="B28" s="3">
        <f>CEILING(B5*(B6/B24)*(1+'🔧 Хэвлэл Админ'!B7),1)+B25*'🔧 Хэвлэл Админ'!B12</f>
        <v>18400</v>
      </c>
      <c r="C28" s="32" t="s">
        <v>149</v>
      </c>
    </row>
    <row r="29" spans="1:4" x14ac:dyDescent="0.25">
      <c r="A29" s="31" t="s">
        <v>150</v>
      </c>
      <c r="B29" s="3">
        <f>IFERROR(INDEX('🔧 Хэвлэл Админ'!D15:D47,MATCH(B8,'🔧 Хэвлэл Админ'!E15:E47,0)),60)</f>
        <v>60</v>
      </c>
      <c r="C29" s="32" t="s">
        <v>151</v>
      </c>
    </row>
    <row r="30" spans="1:4" x14ac:dyDescent="0.25">
      <c r="A30" s="31" t="s">
        <v>152</v>
      </c>
      <c r="B30" s="3">
        <f>IFERROR(INDEX('🔧 Хэвлэл Админ'!C69:C73,MATCH(B10,'🔧 Хэвлэл Админ'!B69:B73,0)),0)</f>
        <v>1200</v>
      </c>
      <c r="C30" s="32" t="s">
        <v>153</v>
      </c>
    </row>
    <row r="31" spans="1:4" x14ac:dyDescent="0.25">
      <c r="A31" s="31" t="s">
        <v>154</v>
      </c>
      <c r="B31" s="3">
        <f>IFERROR(INDEX('🔧 Хэвлэл Админ'!D15:D47,MATCH(B21,'🔧 Хэвлэл Админ'!E15:E47,0)),280)</f>
        <v>280</v>
      </c>
      <c r="C31" s="32" t="s">
        <v>155</v>
      </c>
    </row>
    <row r="32" spans="1:4" x14ac:dyDescent="0.25">
      <c r="A32" s="31" t="s">
        <v>156</v>
      </c>
      <c r="B32" s="4">
        <f>IFERROR(INDEX('🔧 Хэвлэл Админ'!C85:C87,MATCH(B12,'🔧 Хэвлэл Админ'!B85:B87,0)),0)</f>
        <v>0</v>
      </c>
    </row>
    <row r="34" spans="1:4" ht="15.75" x14ac:dyDescent="0.25">
      <c r="A34" s="22" t="s">
        <v>157</v>
      </c>
      <c r="B34" s="23"/>
      <c r="C34" s="23"/>
      <c r="D34" s="23"/>
    </row>
    <row r="35" spans="1:4" x14ac:dyDescent="0.25">
      <c r="A35" s="14" t="s">
        <v>158</v>
      </c>
      <c r="B35" s="15" t="s">
        <v>159</v>
      </c>
      <c r="C35" s="33" t="s">
        <v>160</v>
      </c>
      <c r="D35" s="14" t="s">
        <v>80</v>
      </c>
    </row>
    <row r="36" spans="1:4" x14ac:dyDescent="0.25">
      <c r="A36" t="s">
        <v>161</v>
      </c>
      <c r="B36" s="34" t="str">
        <f>B27&amp;" хавтан"</f>
        <v>256 хавтан</v>
      </c>
      <c r="C36" s="35">
        <f>B27*'🔧 Хэвлэл Админ'!B8</f>
        <v>896000</v>
      </c>
      <c r="D36" s="12" t="str">
        <f>B27&amp;" хавтан × "&amp;TEXT('🔧 Хэвлэл Админ'!B8,"#,##0")&amp;"₮"</f>
        <v>256 хавтан × 3,500₮</v>
      </c>
    </row>
    <row r="37" spans="1:4" x14ac:dyDescent="0.25">
      <c r="A37" t="s">
        <v>162</v>
      </c>
      <c r="B37" s="34" t="str">
        <f>B25*B26&amp;" бацт × "&amp;TEXT('🔧 Хэвлэл Админ'!B10,"#,##0")&amp;"₮"</f>
        <v>64 бацт × 35,000₮</v>
      </c>
      <c r="C37" s="35">
        <f>B25*B26*'🔧 Хэвлэл Админ'!B10</f>
        <v>2240000</v>
      </c>
      <c r="D37" s="12" t="str">
        <f>B25*B26&amp;" бацт × "&amp;TEXT('🔧 Хэвлэл Админ'!B10,"#,##0")&amp;"₮"</f>
        <v>64 бацт × 35,000₮</v>
      </c>
    </row>
    <row r="38" spans="1:4" x14ac:dyDescent="0.25">
      <c r="A38" t="s">
        <v>163</v>
      </c>
      <c r="B38" s="34" t="str">
        <f>TEXT(B28,"#,##0")&amp;" хуудас"</f>
        <v>18,400 хуудас</v>
      </c>
      <c r="C38" s="35">
        <f>B28*B29</f>
        <v>1104000</v>
      </c>
      <c r="D38" s="12" t="str">
        <f>TEXT(B28,"#,##0")&amp;" хуудас × "&amp;B29&amp;"₮"</f>
        <v>18,400 хуудас × 60₮</v>
      </c>
    </row>
    <row r="39" spans="1:4" x14ac:dyDescent="0.25">
      <c r="A39" t="s">
        <v>164</v>
      </c>
      <c r="B39" s="34" t="str">
        <f>IF(OR(B10="Байхгүй",B6&lt;=4),"-",'🔧 Хэвлэл Админ'!B9*B26&amp;" хавтан")</f>
        <v>8 хавтан</v>
      </c>
      <c r="C39" s="35">
        <f>IF(OR(B10="Байхгүй",B6&lt;=4),0,'🔧 Хэвлэл Админ'!B9*B26*'🔧 Хэвлэл Админ'!B8)</f>
        <v>28000</v>
      </c>
      <c r="D39" s="12" t="s">
        <v>165</v>
      </c>
    </row>
    <row r="40" spans="1:4" x14ac:dyDescent="0.25">
      <c r="A40" t="s">
        <v>166</v>
      </c>
      <c r="B40" s="34" t="str">
        <f>IF(OR(B10="Байхгүй",B6&lt;=4),"-",B26&amp;" бацт")</f>
        <v>2 бацт</v>
      </c>
      <c r="C40" s="35">
        <f>IF(OR(B10="Байхгүй",B6&lt;=4),0,B26*'🔧 Хэвлэл Админ'!B10)</f>
        <v>70000</v>
      </c>
      <c r="D40" s="12" t="s">
        <v>167</v>
      </c>
    </row>
    <row r="41" spans="1:4" x14ac:dyDescent="0.25">
      <c r="A41" t="s">
        <v>168</v>
      </c>
      <c r="B41" s="34" t="str">
        <f>IF(B10="Байхгүй","-",TEXT(CEILING(B5*(1+'🔧 Хэвлэл Админ'!B7),1),"#,##0")&amp;" хуудас")</f>
        <v>525 хуудас</v>
      </c>
      <c r="C41" s="35">
        <f>IF(OR(B10="Байхгүй",B6&lt;=4),0,CEILING(B5*(1+'🔧 Хэвлэл Админ'!B7),1)*B31)</f>
        <v>147000</v>
      </c>
      <c r="D41" s="12" t="s">
        <v>169</v>
      </c>
    </row>
    <row r="42" spans="1:4" x14ac:dyDescent="0.25">
      <c r="A42" t="s">
        <v>170</v>
      </c>
      <c r="B42" s="34" t="str">
        <f>IF(OR(B16="Үгүй",B6&lt;=B24),"-",TEXT(B28,"#,##0")&amp;" хуудас")</f>
        <v>18,400 хуудас</v>
      </c>
      <c r="C42" s="35">
        <f>IF(OR(B16="Үгүй",B6&lt;=B24),0,B28*'🔧 Хэвлэл Админ'!B11)</f>
        <v>1840000</v>
      </c>
      <c r="D42" s="12" t="s">
        <v>171</v>
      </c>
    </row>
    <row r="43" spans="1:4" x14ac:dyDescent="0.25">
      <c r="A43" t="s">
        <v>172</v>
      </c>
      <c r="B43" s="34" t="str">
        <f>IF(B10="Байхгүй","-",TEXT(B5,"#,##0")&amp;" ш")</f>
        <v>500 ш</v>
      </c>
      <c r="C43" s="35">
        <f>IF(OR(B10="Байхгүй",B6&lt;=4),0,B5*B30)</f>
        <v>600000</v>
      </c>
      <c r="D43" s="12" t="str">
        <f>IF(B10="Байхгүй","",TEXT(B5,"#,##0")&amp;" × "&amp;TEXT(B30,"#,##0")&amp;"₮")</f>
        <v>500 × 1,200₮</v>
      </c>
    </row>
    <row r="44" spans="1:4" x14ac:dyDescent="0.25">
      <c r="A44" t="s">
        <v>173</v>
      </c>
      <c r="B44" s="34" t="str">
        <f>IF(B17="Үгүй","-",B17)</f>
        <v>-</v>
      </c>
      <c r="C44" s="35">
        <f>IF(B17="Үгүй",0,IF(B17="Гэрэлт",'🔧 Хэвлэл Админ'!C77,'🔧 Хэвлэл Админ'!C78)*B28)</f>
        <v>0</v>
      </c>
      <c r="D44" s="12" t="s">
        <v>174</v>
      </c>
    </row>
    <row r="45" spans="1:4" x14ac:dyDescent="0.25">
      <c r="A45" t="s">
        <v>89</v>
      </c>
      <c r="B45" s="34" t="str">
        <f>IF(B18="Үгүй","-","Тийм")</f>
        <v>-</v>
      </c>
      <c r="C45" s="35">
        <f>IF(B18="Үгүй",0,'🔧 Хэвлэл Админ'!C79*B28)</f>
        <v>0</v>
      </c>
      <c r="D45" s="12" t="s">
        <v>175</v>
      </c>
    </row>
    <row r="46" spans="1:4" x14ac:dyDescent="0.25">
      <c r="A46" t="s">
        <v>90</v>
      </c>
      <c r="B46" s="34" t="str">
        <f>IF(B19="Үгүй","-","Тийм")</f>
        <v>-</v>
      </c>
      <c r="C46" s="35">
        <f>IF(B19="Үгүй",0,'🔧 Хэвлэл Админ'!C80*B28)</f>
        <v>0</v>
      </c>
      <c r="D46" s="12" t="s">
        <v>176</v>
      </c>
    </row>
    <row r="47" spans="1:4" x14ac:dyDescent="0.25">
      <c r="A47" t="s">
        <v>91</v>
      </c>
      <c r="B47" s="34" t="str">
        <f>IF(B20="Үгүй","-","Тийм")</f>
        <v>-</v>
      </c>
      <c r="C47" s="35">
        <f>IF(B20="Үгүй",0,'🔧 Хэвлэл Админ'!C81*B28)</f>
        <v>0</v>
      </c>
      <c r="D47" s="12" t="s">
        <v>177</v>
      </c>
    </row>
    <row r="49" spans="1:4" x14ac:dyDescent="0.25">
      <c r="A49" s="1" t="s">
        <v>178</v>
      </c>
      <c r="C49" s="35">
        <f>SUM(C36:C47)</f>
        <v>6925000</v>
      </c>
    </row>
    <row r="50" spans="1:4" x14ac:dyDescent="0.25">
      <c r="A50" s="1" t="s">
        <v>179</v>
      </c>
      <c r="B50" s="34" t="str">
        <f>TEXT(B11,"0%")</f>
        <v>25%</v>
      </c>
      <c r="C50" s="35">
        <f>C49*B11</f>
        <v>1731250</v>
      </c>
      <c r="D50" s="12" t="str">
        <f>TEXT(C49,"#,##0")&amp;"₮ × "&amp;TEXT(B11,"0%")</f>
        <v>6,925,000₮ × 25%</v>
      </c>
    </row>
    <row r="51" spans="1:4" x14ac:dyDescent="0.25">
      <c r="A51" t="s">
        <v>180</v>
      </c>
      <c r="B51" s="34" t="str">
        <f>IF(B32=0,"-",TEXT(B32,"0%"))</f>
        <v>-</v>
      </c>
      <c r="C51" s="35">
        <f>(C49+C50)*B32</f>
        <v>0</v>
      </c>
    </row>
    <row r="53" spans="1:4" ht="15.75" x14ac:dyDescent="0.25">
      <c r="A53" s="5" t="s">
        <v>34</v>
      </c>
      <c r="C53" s="36">
        <f>C49+C50+C51</f>
        <v>8656250</v>
      </c>
      <c r="D53" s="5" t="s">
        <v>27</v>
      </c>
    </row>
    <row r="54" spans="1:4" x14ac:dyDescent="0.25">
      <c r="A54" t="s">
        <v>181</v>
      </c>
      <c r="C54" s="37">
        <f>C53*'🔧 Хэвлэл Админ'!B5</f>
        <v>865625</v>
      </c>
      <c r="D54" t="s">
        <v>27</v>
      </c>
    </row>
    <row r="56" spans="1:4" ht="18.75" x14ac:dyDescent="0.3">
      <c r="A56" s="38" t="s">
        <v>182</v>
      </c>
      <c r="C56" s="39">
        <f>C53+C54</f>
        <v>9521875</v>
      </c>
      <c r="D56" s="38" t="s">
        <v>27</v>
      </c>
    </row>
    <row r="57" spans="1:4" x14ac:dyDescent="0.25">
      <c r="A57" s="40" t="s">
        <v>40</v>
      </c>
      <c r="C57" s="41">
        <f>IFERROR(C56/B5,0)</f>
        <v>19043.75</v>
      </c>
      <c r="D57" s="6" t="s">
        <v>183</v>
      </c>
    </row>
    <row r="59" spans="1:4" x14ac:dyDescent="0.25">
      <c r="A59" s="12" t="s">
        <v>184</v>
      </c>
      <c r="B59" s="12" t="str">
        <f>"Бацт: "&amp;B25&amp;" ("&amp;B26&amp;" нүүр) • Хуудас: "&amp;TEXT(B28,"#,##0")</f>
        <v>Бацт: 32 (2 нүүр) • Хуудас: 18,400</v>
      </c>
    </row>
  </sheetData>
  <dataValidations count="2">
    <dataValidation type="list" allowBlank="1" showInputMessage="1" showErrorMessage="1" sqref="B15 B16 B18 B19 B20" xr:uid="{BC7FDA7C-EDF4-4304-AEA8-2FD4407D2DF6}">
      <formula1>"Тийм,Үгүй"</formula1>
    </dataValidation>
    <dataValidation type="list" allowBlank="1" showInputMessage="1" showErrorMessage="1" sqref="B17" xr:uid="{1ECA09F1-A87E-4806-914E-E583C0941520}">
      <formula1>"Үгүй,Гэрэлт,Матт"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C7C5436-7474-4D12-A9AD-16CF5329B09C}">
          <x14:formula1>
            <xm:f>'🔧 Хэвлэл Админ'!E15:E47</xm:f>
          </x14:formula1>
          <xm:sqref>B8</xm:sqref>
        </x14:dataValidation>
        <x14:dataValidation type="list" allowBlank="1" showInputMessage="1" showErrorMessage="1" xr:uid="{D92911E8-93D4-442A-B0ED-81562C970157}">
          <x14:formula1>
            <xm:f>'🔧 Хэвлэл Админ'!B51:B58</xm:f>
          </x14:formula1>
          <xm:sqref>B7</xm:sqref>
        </x14:dataValidation>
        <x14:dataValidation type="list" allowBlank="1" showInputMessage="1" showErrorMessage="1" xr:uid="{6B75FBF0-3FF2-4583-B18F-F7FF659105D0}">
          <x14:formula1>
            <xm:f>'🔧 Хэвлэл Админ'!B62:B65</xm:f>
          </x14:formula1>
          <xm:sqref>B9</xm:sqref>
        </x14:dataValidation>
        <x14:dataValidation type="list" allowBlank="1" showInputMessage="1" showErrorMessage="1" xr:uid="{183D7773-047E-4163-A48E-79DC821BCEE2}">
          <x14:formula1>
            <xm:f>'🔧 Хэвлэл Админ'!B69:B73</xm:f>
          </x14:formula1>
          <xm:sqref>B10</xm:sqref>
        </x14:dataValidation>
        <x14:dataValidation type="list" allowBlank="1" showInputMessage="1" showErrorMessage="1" xr:uid="{DA31D433-4537-4B45-8A03-3E7C0CC9826C}">
          <x14:formula1>
            <xm:f>'🔧 Хэвлэл Админ'!B85:B87</xm:f>
          </x14:formula1>
          <xm:sqref>B12</xm:sqref>
        </x14:dataValidation>
        <x14:dataValidation type="list" allowBlank="1" showInputMessage="1" showErrorMessage="1" xr:uid="{128952EC-C836-4F57-B2BA-F7E9707C2DEB}">
          <x14:formula1>
            <xm:f>'🔧 Хэвлэл Админ'!E15:E47</xm:f>
          </x14:formula1>
          <xm:sqref>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7AB5-56A6-4226-A9C3-4F93F81687D4}">
  <dimension ref="A1:D46"/>
  <sheetViews>
    <sheetView workbookViewId="0">
      <selection activeCell="D9" sqref="D9"/>
    </sheetView>
  </sheetViews>
  <sheetFormatPr defaultRowHeight="15" x14ac:dyDescent="0.25"/>
  <cols>
    <col min="1" max="1" width="34.28515625" customWidth="1"/>
    <col min="2" max="2" width="30.42578125" customWidth="1"/>
    <col min="3" max="3" width="24.7109375" customWidth="1"/>
    <col min="4" max="4" width="38.140625" customWidth="1"/>
  </cols>
  <sheetData>
    <row r="1" spans="1:4" ht="21" x14ac:dyDescent="0.35">
      <c r="A1" s="7" t="s">
        <v>185</v>
      </c>
    </row>
    <row r="2" spans="1:4" x14ac:dyDescent="0.25">
      <c r="A2" s="8" t="s">
        <v>186</v>
      </c>
    </row>
    <row r="4" spans="1:4" ht="15.75" x14ac:dyDescent="0.25">
      <c r="A4" s="22" t="s">
        <v>116</v>
      </c>
      <c r="B4" s="23"/>
      <c r="C4" s="23"/>
      <c r="D4" s="23"/>
    </row>
    <row r="5" spans="1:4" x14ac:dyDescent="0.25">
      <c r="A5" s="1" t="s">
        <v>20</v>
      </c>
      <c r="B5" s="25" t="s">
        <v>0</v>
      </c>
      <c r="C5" s="12" t="s">
        <v>122</v>
      </c>
    </row>
    <row r="6" spans="1:4" x14ac:dyDescent="0.25">
      <c r="A6" s="1" t="s">
        <v>187</v>
      </c>
      <c r="B6" s="26">
        <v>500</v>
      </c>
      <c r="C6" s="12" t="s">
        <v>188</v>
      </c>
    </row>
    <row r="7" spans="1:4" x14ac:dyDescent="0.25">
      <c r="A7" s="1" t="s">
        <v>189</v>
      </c>
      <c r="B7" s="26">
        <v>300</v>
      </c>
      <c r="C7" s="12" t="s">
        <v>188</v>
      </c>
    </row>
    <row r="8" spans="1:4" x14ac:dyDescent="0.25">
      <c r="A8" s="1" t="s">
        <v>190</v>
      </c>
      <c r="B8" s="25">
        <v>1</v>
      </c>
      <c r="C8" s="12" t="s">
        <v>191</v>
      </c>
    </row>
    <row r="9" spans="1:4" x14ac:dyDescent="0.25">
      <c r="A9" s="1" t="s">
        <v>26</v>
      </c>
      <c r="B9" s="25" t="s">
        <v>16</v>
      </c>
      <c r="C9" s="12" t="s">
        <v>122</v>
      </c>
    </row>
    <row r="11" spans="1:4" ht="15.75" x14ac:dyDescent="0.25">
      <c r="A11" s="22" t="s">
        <v>192</v>
      </c>
      <c r="B11" s="23"/>
      <c r="C11" s="23"/>
      <c r="D11" s="23"/>
    </row>
    <row r="12" spans="1:4" x14ac:dyDescent="0.25">
      <c r="A12" s="1" t="s">
        <v>193</v>
      </c>
      <c r="B12" s="28" t="s">
        <v>22</v>
      </c>
      <c r="C12" s="12" t="s">
        <v>130</v>
      </c>
    </row>
    <row r="13" spans="1:4" x14ac:dyDescent="0.25">
      <c r="A13" s="1" t="s">
        <v>194</v>
      </c>
      <c r="B13" s="28" t="s">
        <v>22</v>
      </c>
      <c r="C13" s="12" t="s">
        <v>130</v>
      </c>
    </row>
    <row r="14" spans="1:4" x14ac:dyDescent="0.25">
      <c r="A14" s="1" t="s">
        <v>195</v>
      </c>
      <c r="B14" s="28" t="s">
        <v>22</v>
      </c>
      <c r="C14" s="12" t="s">
        <v>130</v>
      </c>
    </row>
    <row r="15" spans="1:4" x14ac:dyDescent="0.25">
      <c r="A15" s="1" t="s">
        <v>21</v>
      </c>
      <c r="B15" s="28" t="s">
        <v>22</v>
      </c>
      <c r="C15" s="12" t="s">
        <v>130</v>
      </c>
    </row>
    <row r="16" spans="1:4" x14ac:dyDescent="0.25">
      <c r="A16" s="1" t="s">
        <v>196</v>
      </c>
      <c r="B16" s="28" t="s">
        <v>22</v>
      </c>
      <c r="C16" s="12" t="s">
        <v>130</v>
      </c>
    </row>
    <row r="17" spans="1:4" x14ac:dyDescent="0.25">
      <c r="A17" s="1" t="s">
        <v>23</v>
      </c>
      <c r="B17" s="28" t="s">
        <v>22</v>
      </c>
      <c r="C17" s="12" t="s">
        <v>197</v>
      </c>
    </row>
    <row r="18" spans="1:4" x14ac:dyDescent="0.25">
      <c r="A18" s="1" t="s">
        <v>24</v>
      </c>
      <c r="B18" s="28" t="s">
        <v>22</v>
      </c>
      <c r="C18" s="12" t="s">
        <v>130</v>
      </c>
    </row>
    <row r="19" spans="1:4" x14ac:dyDescent="0.25">
      <c r="A19" s="1" t="s">
        <v>25</v>
      </c>
      <c r="B19" s="28" t="s">
        <v>22</v>
      </c>
      <c r="C19" s="12" t="s">
        <v>130</v>
      </c>
    </row>
    <row r="21" spans="1:4" ht="15.75" x14ac:dyDescent="0.25">
      <c r="A21" s="29" t="s">
        <v>198</v>
      </c>
      <c r="B21" s="20"/>
      <c r="C21" s="20"/>
      <c r="D21" s="20"/>
    </row>
    <row r="22" spans="1:4" x14ac:dyDescent="0.25">
      <c r="A22" s="30" t="s">
        <v>199</v>
      </c>
      <c r="B22" s="3">
        <f>IFERROR(INDEX('🔧 Хаяг Админ'!C6:C14,MATCH(B5,'🔧 Хаяг Админ'!B6:B14,0)),0)</f>
        <v>850000</v>
      </c>
      <c r="C22" s="12" t="s">
        <v>200</v>
      </c>
    </row>
    <row r="23" spans="1:4" x14ac:dyDescent="0.25">
      <c r="A23" s="31" t="s">
        <v>201</v>
      </c>
      <c r="B23" s="42">
        <f>IFERROR(INDEX('🔧 Хаяг Админ'!D6:D14,MATCH(B5,'🔧 Хаяг Админ'!B6:B14,0)),0.25)</f>
        <v>0.25</v>
      </c>
      <c r="C23" s="12" t="s">
        <v>202</v>
      </c>
    </row>
    <row r="24" spans="1:4" x14ac:dyDescent="0.25">
      <c r="A24" s="31" t="s">
        <v>203</v>
      </c>
      <c r="B24" s="43">
        <f>B6*B7/1000000</f>
        <v>0.15</v>
      </c>
      <c r="C24" s="12" t="s">
        <v>204</v>
      </c>
    </row>
    <row r="25" spans="1:4" x14ac:dyDescent="0.25">
      <c r="A25" s="31" t="s">
        <v>205</v>
      </c>
      <c r="B25" s="43">
        <f>MAX(B24,B23)</f>
        <v>0.25</v>
      </c>
      <c r="C25" s="12" t="s">
        <v>206</v>
      </c>
    </row>
    <row r="26" spans="1:4" x14ac:dyDescent="0.25">
      <c r="A26" s="31" t="s">
        <v>207</v>
      </c>
      <c r="B26" s="4">
        <f>IFERROR(INDEX('🔧 Хаяг Админ'!C30:C32,MATCH(B9,'🔧 Хаяг Админ'!B30:B32,0)),0)</f>
        <v>0</v>
      </c>
    </row>
    <row r="28" spans="1:4" ht="15.75" x14ac:dyDescent="0.25">
      <c r="A28" s="22" t="s">
        <v>157</v>
      </c>
      <c r="B28" s="23"/>
      <c r="C28" s="23"/>
      <c r="D28" s="23"/>
    </row>
    <row r="29" spans="1:4" x14ac:dyDescent="0.25">
      <c r="A29" s="14" t="s">
        <v>158</v>
      </c>
      <c r="B29" s="15" t="s">
        <v>159</v>
      </c>
      <c r="C29" s="33" t="s">
        <v>160</v>
      </c>
      <c r="D29" s="14" t="s">
        <v>80</v>
      </c>
    </row>
    <row r="30" spans="1:4" x14ac:dyDescent="0.25">
      <c r="A30" t="s">
        <v>208</v>
      </c>
      <c r="B30" s="34" t="str">
        <f>TEXT(B25,"0.000")&amp;" м² × "&amp;B8&amp;" ш"</f>
        <v>0.250 м² × 1 ш</v>
      </c>
      <c r="C30" s="35">
        <f>B25*B22*B8</f>
        <v>212500</v>
      </c>
      <c r="D30" s="12" t="str">
        <f>"Талбай × М² үнэ × Тоо"</f>
        <v>Талбай × М² үнэ × Тоо</v>
      </c>
    </row>
    <row r="31" spans="1:4" x14ac:dyDescent="0.25">
      <c r="A31" t="s">
        <v>99</v>
      </c>
      <c r="B31" s="34" t="str">
        <f>IF(B12="Тийм","Тийм","-")</f>
        <v>-</v>
      </c>
      <c r="C31" s="35">
        <f>IF(B12="Тийм",'🔧 Хаяг Админ'!C18,0)</f>
        <v>0</v>
      </c>
    </row>
    <row r="32" spans="1:4" x14ac:dyDescent="0.25">
      <c r="A32" t="s">
        <v>101</v>
      </c>
      <c r="B32" s="34" t="str">
        <f>IF(B13="Тийм","Тийм","-")</f>
        <v>-</v>
      </c>
      <c r="C32" s="35">
        <f>IF(B13="Тийм",'🔧 Хаяг Админ'!C19,0)</f>
        <v>0</v>
      </c>
    </row>
    <row r="33" spans="1:4" x14ac:dyDescent="0.25">
      <c r="A33" t="s">
        <v>103</v>
      </c>
      <c r="B33" s="34" t="str">
        <f>IF(B14="Тийм","Тийм","-")</f>
        <v>-</v>
      </c>
      <c r="C33" s="35">
        <f>IF(B14="Тийм",'🔧 Хаяг Админ'!C20,0)</f>
        <v>0</v>
      </c>
    </row>
    <row r="34" spans="1:4" x14ac:dyDescent="0.25">
      <c r="A34" t="s">
        <v>9</v>
      </c>
      <c r="B34" s="34" t="str">
        <f>IF(B15="Тийм","Тийм","-")</f>
        <v>-</v>
      </c>
      <c r="C34" s="35">
        <f>IF(B15="Тийм",'🔧 Хаяг Админ'!C21,0)</f>
        <v>0</v>
      </c>
    </row>
    <row r="35" spans="1:4" x14ac:dyDescent="0.25">
      <c r="A35" t="s">
        <v>106</v>
      </c>
      <c r="B35" s="34" t="str">
        <f>IF(B16="Тийм","Тийм","-")</f>
        <v>-</v>
      </c>
      <c r="C35" s="35">
        <f>IF(B16="Тийм",'🔧 Хаяг Админ'!C22,0)</f>
        <v>0</v>
      </c>
    </row>
    <row r="36" spans="1:4" x14ac:dyDescent="0.25">
      <c r="A36" t="s">
        <v>209</v>
      </c>
      <c r="B36" s="34" t="str">
        <f>IF(B17="Үгүй","-",B17)</f>
        <v>-</v>
      </c>
      <c r="C36" s="35">
        <f>IF(B17="1 цаг",'🔧 Хаяг Админ'!C23,IF(B17="Өдөр",'🔧 Хаяг Админ'!C24,0))</f>
        <v>0</v>
      </c>
    </row>
    <row r="37" spans="1:4" x14ac:dyDescent="0.25">
      <c r="A37" t="s">
        <v>12</v>
      </c>
      <c r="B37" s="34" t="str">
        <f>IF(B18="Тийм","Тийм","-")</f>
        <v>-</v>
      </c>
      <c r="C37" s="35">
        <f>IF(B18="Тийм",'🔧 Хаяг Админ'!C25,0)</f>
        <v>0</v>
      </c>
    </row>
    <row r="38" spans="1:4" x14ac:dyDescent="0.25">
      <c r="A38" t="s">
        <v>13</v>
      </c>
      <c r="B38" s="34" t="str">
        <f>IF(B19="Тийм","Тийм","-")</f>
        <v>-</v>
      </c>
      <c r="C38" s="35">
        <f>IF(B19="Тийм",'🔧 Хаяг Админ'!C26,0)</f>
        <v>0</v>
      </c>
    </row>
    <row r="40" spans="1:4" x14ac:dyDescent="0.25">
      <c r="A40" s="1" t="s">
        <v>210</v>
      </c>
      <c r="C40" s="35">
        <f>SUM(C30:C38)</f>
        <v>212500</v>
      </c>
    </row>
    <row r="41" spans="1:4" x14ac:dyDescent="0.25">
      <c r="A41" t="s">
        <v>180</v>
      </c>
      <c r="B41" s="34" t="str">
        <f>IF(B26=0,"-",TEXT(B26,"0%"))</f>
        <v>-</v>
      </c>
      <c r="C41" s="35">
        <f>C40*B26</f>
        <v>0</v>
      </c>
    </row>
    <row r="43" spans="1:4" ht="15.75" x14ac:dyDescent="0.25">
      <c r="A43" s="5" t="s">
        <v>34</v>
      </c>
      <c r="C43" s="36">
        <f>C40+C41</f>
        <v>212500</v>
      </c>
      <c r="D43" s="5" t="s">
        <v>27</v>
      </c>
    </row>
    <row r="44" spans="1:4" x14ac:dyDescent="0.25">
      <c r="A44" t="s">
        <v>181</v>
      </c>
      <c r="C44" s="37">
        <f>C43*'🔧 Хаяг Админ'!B35</f>
        <v>21250</v>
      </c>
      <c r="D44" t="s">
        <v>27</v>
      </c>
    </row>
    <row r="46" spans="1:4" ht="18.75" x14ac:dyDescent="0.3">
      <c r="A46" s="38" t="s">
        <v>182</v>
      </c>
      <c r="C46" s="39">
        <f>C43+C44</f>
        <v>233750</v>
      </c>
      <c r="D46" s="38" t="s">
        <v>27</v>
      </c>
    </row>
  </sheetData>
  <dataValidations count="4">
    <dataValidation type="list" allowBlank="1" showInputMessage="1" showErrorMessage="1" sqref="B5" xr:uid="{6634CAEC-F811-4B79-9421-24AA75BEF623}">
      <formula1>"'🔧 Хаяг Админ'!B6:B14"</formula1>
    </dataValidation>
    <dataValidation type="list" allowBlank="1" showInputMessage="1" showErrorMessage="1" sqref="B9" xr:uid="{9ADBB54C-157F-4F99-8936-7490B478A4E7}">
      <formula1>"'🔧 Хаяг Админ'!B30:B32"</formula1>
    </dataValidation>
    <dataValidation type="list" allowBlank="1" showInputMessage="1" showErrorMessage="1" sqref="B12 B13 B14 B15 B16 B18 B19" xr:uid="{C5B96D82-1750-4BC6-A406-3B099BCED80A}">
      <formula1>"Тийм,Үгүй"</formula1>
    </dataValidation>
    <dataValidation type="list" allowBlank="1" showInputMessage="1" showErrorMessage="1" sqref="B17" xr:uid="{33BFC6B0-1B9B-4BAD-A4CB-10BE6F1E03B1}">
      <formula1>"Үгүй,1 цаг,Өдөр"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785A-C420-4604-91F8-666CD493567F}">
  <dimension ref="A1:K200"/>
  <sheetViews>
    <sheetView workbookViewId="0"/>
  </sheetViews>
  <sheetFormatPr defaultRowHeight="15" x14ac:dyDescent="0.25"/>
  <cols>
    <col min="1" max="1" width="6.7109375" customWidth="1"/>
    <col min="2" max="2" width="17.140625" customWidth="1"/>
    <col min="3" max="3" width="13.28515625" customWidth="1"/>
    <col min="4" max="4" width="26.7109375" customWidth="1"/>
    <col min="5" max="5" width="17.140625" customWidth="1"/>
    <col min="6" max="6" width="24.7109375" customWidth="1"/>
    <col min="7" max="7" width="15.28515625" customWidth="1"/>
    <col min="8" max="8" width="21" customWidth="1"/>
    <col min="9" max="9" width="15.28515625" customWidth="1"/>
    <col min="10" max="10" width="21" customWidth="1"/>
    <col min="11" max="11" width="15.28515625" customWidth="1"/>
  </cols>
  <sheetData>
    <row r="1" spans="1:11" ht="18.75" x14ac:dyDescent="0.3">
      <c r="A1" s="38" t="s">
        <v>211</v>
      </c>
    </row>
    <row r="3" spans="1:11" x14ac:dyDescent="0.25">
      <c r="A3" s="15" t="s">
        <v>28</v>
      </c>
      <c r="B3" s="15" t="s">
        <v>29</v>
      </c>
      <c r="C3" s="15" t="s">
        <v>212</v>
      </c>
      <c r="D3" s="15" t="s">
        <v>30</v>
      </c>
      <c r="E3" s="15" t="s">
        <v>31</v>
      </c>
      <c r="F3" s="15" t="s">
        <v>32</v>
      </c>
      <c r="G3" s="15" t="s">
        <v>33</v>
      </c>
      <c r="H3" s="33" t="s">
        <v>34</v>
      </c>
      <c r="I3" s="33" t="s">
        <v>35</v>
      </c>
      <c r="J3" s="33" t="s">
        <v>36</v>
      </c>
      <c r="K3" s="15" t="s">
        <v>37</v>
      </c>
    </row>
    <row r="4" spans="1:11" x14ac:dyDescent="0.25">
      <c r="B4" s="44"/>
      <c r="G4" s="3"/>
      <c r="H4" s="3"/>
      <c r="I4" s="3"/>
      <c r="J4" s="3"/>
    </row>
    <row r="5" spans="1:11" x14ac:dyDescent="0.25">
      <c r="B5" s="44"/>
      <c r="G5" s="3"/>
      <c r="H5" s="3"/>
      <c r="I5" s="3"/>
      <c r="J5" s="3"/>
    </row>
    <row r="6" spans="1:11" x14ac:dyDescent="0.25">
      <c r="B6" s="44"/>
      <c r="G6" s="3"/>
      <c r="H6" s="3"/>
      <c r="I6" s="3"/>
      <c r="J6" s="3"/>
    </row>
    <row r="7" spans="1:11" x14ac:dyDescent="0.25">
      <c r="B7" s="44"/>
      <c r="G7" s="3"/>
      <c r="H7" s="3"/>
      <c r="I7" s="3"/>
      <c r="J7" s="3"/>
    </row>
    <row r="8" spans="1:11" x14ac:dyDescent="0.25">
      <c r="B8" s="44"/>
      <c r="G8" s="3"/>
      <c r="H8" s="3"/>
      <c r="I8" s="3"/>
      <c r="J8" s="3"/>
    </row>
    <row r="9" spans="1:11" x14ac:dyDescent="0.25">
      <c r="B9" s="44"/>
      <c r="G9" s="3"/>
      <c r="H9" s="3"/>
      <c r="I9" s="3"/>
      <c r="J9" s="3"/>
    </row>
    <row r="10" spans="1:11" x14ac:dyDescent="0.25">
      <c r="B10" s="44"/>
      <c r="G10" s="3"/>
      <c r="H10" s="3"/>
      <c r="I10" s="3"/>
      <c r="J10" s="3"/>
    </row>
    <row r="11" spans="1:11" x14ac:dyDescent="0.25">
      <c r="B11" s="44"/>
      <c r="G11" s="3"/>
      <c r="H11" s="3"/>
      <c r="I11" s="3"/>
      <c r="J11" s="3"/>
    </row>
    <row r="12" spans="1:11" x14ac:dyDescent="0.25">
      <c r="B12" s="44"/>
      <c r="G12" s="3"/>
      <c r="H12" s="3"/>
      <c r="I12" s="3"/>
      <c r="J12" s="3"/>
    </row>
    <row r="13" spans="1:11" x14ac:dyDescent="0.25">
      <c r="B13" s="44"/>
      <c r="G13" s="3"/>
      <c r="H13" s="3"/>
      <c r="I13" s="3"/>
      <c r="J13" s="3"/>
    </row>
    <row r="14" spans="1:11" x14ac:dyDescent="0.25">
      <c r="B14" s="44"/>
      <c r="G14" s="3"/>
      <c r="H14" s="3"/>
      <c r="I14" s="3"/>
      <c r="J14" s="3"/>
    </row>
    <row r="15" spans="1:11" x14ac:dyDescent="0.25">
      <c r="B15" s="44"/>
      <c r="G15" s="3"/>
      <c r="H15" s="3"/>
      <c r="I15" s="3"/>
      <c r="J15" s="3"/>
    </row>
    <row r="16" spans="1:11" x14ac:dyDescent="0.25">
      <c r="B16" s="44"/>
      <c r="G16" s="3"/>
      <c r="H16" s="3"/>
      <c r="I16" s="3"/>
      <c r="J16" s="3"/>
    </row>
    <row r="17" spans="2:10" x14ac:dyDescent="0.25">
      <c r="B17" s="44"/>
      <c r="G17" s="3"/>
      <c r="H17" s="3"/>
      <c r="I17" s="3"/>
      <c r="J17" s="3"/>
    </row>
    <row r="18" spans="2:10" x14ac:dyDescent="0.25">
      <c r="B18" s="44"/>
      <c r="G18" s="3"/>
      <c r="H18" s="3"/>
      <c r="I18" s="3"/>
      <c r="J18" s="3"/>
    </row>
    <row r="19" spans="2:10" x14ac:dyDescent="0.25">
      <c r="B19" s="44"/>
      <c r="G19" s="3"/>
      <c r="H19" s="3"/>
      <c r="I19" s="3"/>
      <c r="J19" s="3"/>
    </row>
    <row r="20" spans="2:10" x14ac:dyDescent="0.25">
      <c r="B20" s="44"/>
      <c r="G20" s="3"/>
      <c r="H20" s="3"/>
      <c r="I20" s="3"/>
      <c r="J20" s="3"/>
    </row>
    <row r="21" spans="2:10" x14ac:dyDescent="0.25">
      <c r="B21" s="44"/>
      <c r="G21" s="3"/>
      <c r="H21" s="3"/>
      <c r="I21" s="3"/>
      <c r="J21" s="3"/>
    </row>
    <row r="22" spans="2:10" x14ac:dyDescent="0.25">
      <c r="B22" s="44"/>
      <c r="G22" s="3"/>
      <c r="H22" s="3"/>
      <c r="I22" s="3"/>
      <c r="J22" s="3"/>
    </row>
    <row r="23" spans="2:10" x14ac:dyDescent="0.25">
      <c r="B23" s="44"/>
      <c r="G23" s="3"/>
      <c r="H23" s="3"/>
      <c r="I23" s="3"/>
      <c r="J23" s="3"/>
    </row>
    <row r="24" spans="2:10" x14ac:dyDescent="0.25">
      <c r="B24" s="44"/>
      <c r="G24" s="3"/>
      <c r="H24" s="3"/>
      <c r="I24" s="3"/>
      <c r="J24" s="3"/>
    </row>
    <row r="25" spans="2:10" x14ac:dyDescent="0.25">
      <c r="B25" s="44"/>
      <c r="G25" s="3"/>
      <c r="H25" s="3"/>
      <c r="I25" s="3"/>
      <c r="J25" s="3"/>
    </row>
    <row r="26" spans="2:10" x14ac:dyDescent="0.25">
      <c r="B26" s="44"/>
      <c r="G26" s="3"/>
      <c r="H26" s="3"/>
      <c r="I26" s="3"/>
      <c r="J26" s="3"/>
    </row>
    <row r="27" spans="2:10" x14ac:dyDescent="0.25">
      <c r="B27" s="44"/>
      <c r="G27" s="3"/>
      <c r="H27" s="3"/>
      <c r="I27" s="3"/>
      <c r="J27" s="3"/>
    </row>
    <row r="28" spans="2:10" x14ac:dyDescent="0.25">
      <c r="B28" s="44"/>
      <c r="G28" s="3"/>
      <c r="H28" s="3"/>
      <c r="I28" s="3"/>
      <c r="J28" s="3"/>
    </row>
    <row r="29" spans="2:10" x14ac:dyDescent="0.25">
      <c r="B29" s="44"/>
      <c r="G29" s="3"/>
      <c r="H29" s="3"/>
      <c r="I29" s="3"/>
      <c r="J29" s="3"/>
    </row>
    <row r="30" spans="2:10" x14ac:dyDescent="0.25">
      <c r="B30" s="44"/>
      <c r="G30" s="3"/>
      <c r="H30" s="3"/>
      <c r="I30" s="3"/>
      <c r="J30" s="3"/>
    </row>
    <row r="31" spans="2:10" x14ac:dyDescent="0.25">
      <c r="B31" s="44"/>
      <c r="G31" s="3"/>
      <c r="H31" s="3"/>
      <c r="I31" s="3"/>
      <c r="J31" s="3"/>
    </row>
    <row r="32" spans="2:10" x14ac:dyDescent="0.25">
      <c r="B32" s="44"/>
      <c r="G32" s="3"/>
      <c r="H32" s="3"/>
      <c r="I32" s="3"/>
      <c r="J32" s="3"/>
    </row>
    <row r="33" spans="2:10" x14ac:dyDescent="0.25">
      <c r="B33" s="44"/>
      <c r="G33" s="3"/>
      <c r="H33" s="3"/>
      <c r="I33" s="3"/>
      <c r="J33" s="3"/>
    </row>
    <row r="34" spans="2:10" x14ac:dyDescent="0.25">
      <c r="B34" s="44"/>
      <c r="G34" s="3"/>
      <c r="H34" s="3"/>
      <c r="I34" s="3"/>
      <c r="J34" s="3"/>
    </row>
    <row r="35" spans="2:10" x14ac:dyDescent="0.25">
      <c r="B35" s="44"/>
      <c r="G35" s="3"/>
      <c r="H35" s="3"/>
      <c r="I35" s="3"/>
      <c r="J35" s="3"/>
    </row>
    <row r="36" spans="2:10" x14ac:dyDescent="0.25">
      <c r="B36" s="44"/>
      <c r="G36" s="3"/>
      <c r="H36" s="3"/>
      <c r="I36" s="3"/>
      <c r="J36" s="3"/>
    </row>
    <row r="37" spans="2:10" x14ac:dyDescent="0.25">
      <c r="B37" s="44"/>
      <c r="G37" s="3"/>
      <c r="H37" s="3"/>
      <c r="I37" s="3"/>
      <c r="J37" s="3"/>
    </row>
    <row r="38" spans="2:10" x14ac:dyDescent="0.25">
      <c r="B38" s="44"/>
      <c r="G38" s="3"/>
      <c r="H38" s="3"/>
      <c r="I38" s="3"/>
      <c r="J38" s="3"/>
    </row>
    <row r="39" spans="2:10" x14ac:dyDescent="0.25">
      <c r="B39" s="44"/>
      <c r="G39" s="3"/>
      <c r="H39" s="3"/>
      <c r="I39" s="3"/>
      <c r="J39" s="3"/>
    </row>
    <row r="40" spans="2:10" x14ac:dyDescent="0.25">
      <c r="B40" s="44"/>
      <c r="G40" s="3"/>
      <c r="H40" s="3"/>
      <c r="I40" s="3"/>
      <c r="J40" s="3"/>
    </row>
    <row r="41" spans="2:10" x14ac:dyDescent="0.25">
      <c r="B41" s="44"/>
      <c r="G41" s="3"/>
      <c r="H41" s="3"/>
      <c r="I41" s="3"/>
      <c r="J41" s="3"/>
    </row>
    <row r="42" spans="2:10" x14ac:dyDescent="0.25">
      <c r="B42" s="44"/>
      <c r="G42" s="3"/>
      <c r="H42" s="3"/>
      <c r="I42" s="3"/>
      <c r="J42" s="3"/>
    </row>
    <row r="43" spans="2:10" x14ac:dyDescent="0.25">
      <c r="B43" s="44"/>
      <c r="G43" s="3"/>
      <c r="H43" s="3"/>
      <c r="I43" s="3"/>
      <c r="J43" s="3"/>
    </row>
    <row r="44" spans="2:10" x14ac:dyDescent="0.25">
      <c r="B44" s="44"/>
      <c r="G44" s="3"/>
      <c r="H44" s="3"/>
      <c r="I44" s="3"/>
      <c r="J44" s="3"/>
    </row>
    <row r="45" spans="2:10" x14ac:dyDescent="0.25">
      <c r="B45" s="44"/>
      <c r="G45" s="3"/>
      <c r="H45" s="3"/>
      <c r="I45" s="3"/>
      <c r="J45" s="3"/>
    </row>
    <row r="46" spans="2:10" x14ac:dyDescent="0.25">
      <c r="B46" s="44"/>
      <c r="G46" s="3"/>
      <c r="H46" s="3"/>
      <c r="I46" s="3"/>
      <c r="J46" s="3"/>
    </row>
    <row r="47" spans="2:10" x14ac:dyDescent="0.25">
      <c r="B47" s="44"/>
      <c r="G47" s="3"/>
      <c r="H47" s="3"/>
      <c r="I47" s="3"/>
      <c r="J47" s="3"/>
    </row>
    <row r="48" spans="2:10" x14ac:dyDescent="0.25">
      <c r="B48" s="44"/>
      <c r="G48" s="3"/>
      <c r="H48" s="3"/>
      <c r="I48" s="3"/>
      <c r="J48" s="3"/>
    </row>
    <row r="49" spans="2:10" x14ac:dyDescent="0.25">
      <c r="B49" s="44"/>
      <c r="G49" s="3"/>
      <c r="H49" s="3"/>
      <c r="I49" s="3"/>
      <c r="J49" s="3"/>
    </row>
    <row r="50" spans="2:10" x14ac:dyDescent="0.25">
      <c r="B50" s="44"/>
      <c r="G50" s="3"/>
      <c r="H50" s="3"/>
      <c r="I50" s="3"/>
      <c r="J50" s="3"/>
    </row>
    <row r="51" spans="2:10" x14ac:dyDescent="0.25">
      <c r="B51" s="44"/>
      <c r="G51" s="3"/>
      <c r="H51" s="3"/>
      <c r="I51" s="3"/>
      <c r="J51" s="3"/>
    </row>
    <row r="52" spans="2:10" x14ac:dyDescent="0.25">
      <c r="B52" s="44"/>
      <c r="G52" s="3"/>
      <c r="H52" s="3"/>
      <c r="I52" s="3"/>
      <c r="J52" s="3"/>
    </row>
    <row r="53" spans="2:10" x14ac:dyDescent="0.25">
      <c r="B53" s="44"/>
      <c r="G53" s="3"/>
      <c r="H53" s="3"/>
      <c r="I53" s="3"/>
      <c r="J53" s="3"/>
    </row>
    <row r="54" spans="2:10" x14ac:dyDescent="0.25">
      <c r="B54" s="44"/>
      <c r="G54" s="3"/>
      <c r="H54" s="3"/>
      <c r="I54" s="3"/>
      <c r="J54" s="3"/>
    </row>
    <row r="55" spans="2:10" x14ac:dyDescent="0.25">
      <c r="B55" s="44"/>
      <c r="G55" s="3"/>
      <c r="H55" s="3"/>
      <c r="I55" s="3"/>
      <c r="J55" s="3"/>
    </row>
    <row r="56" spans="2:10" x14ac:dyDescent="0.25">
      <c r="B56" s="44"/>
      <c r="G56" s="3"/>
      <c r="H56" s="3"/>
      <c r="I56" s="3"/>
      <c r="J56" s="3"/>
    </row>
    <row r="57" spans="2:10" x14ac:dyDescent="0.25">
      <c r="B57" s="44"/>
      <c r="G57" s="3"/>
      <c r="H57" s="3"/>
      <c r="I57" s="3"/>
      <c r="J57" s="3"/>
    </row>
    <row r="58" spans="2:10" x14ac:dyDescent="0.25">
      <c r="B58" s="44"/>
      <c r="G58" s="3"/>
      <c r="H58" s="3"/>
      <c r="I58" s="3"/>
      <c r="J58" s="3"/>
    </row>
    <row r="59" spans="2:10" x14ac:dyDescent="0.25">
      <c r="B59" s="44"/>
      <c r="G59" s="3"/>
      <c r="H59" s="3"/>
      <c r="I59" s="3"/>
      <c r="J59" s="3"/>
    </row>
    <row r="60" spans="2:10" x14ac:dyDescent="0.25">
      <c r="B60" s="44"/>
      <c r="G60" s="3"/>
      <c r="H60" s="3"/>
      <c r="I60" s="3"/>
      <c r="J60" s="3"/>
    </row>
    <row r="61" spans="2:10" x14ac:dyDescent="0.25">
      <c r="B61" s="44"/>
      <c r="G61" s="3"/>
      <c r="H61" s="3"/>
      <c r="I61" s="3"/>
      <c r="J61" s="3"/>
    </row>
    <row r="62" spans="2:10" x14ac:dyDescent="0.25">
      <c r="B62" s="44"/>
      <c r="G62" s="3"/>
      <c r="H62" s="3"/>
      <c r="I62" s="3"/>
      <c r="J62" s="3"/>
    </row>
    <row r="63" spans="2:10" x14ac:dyDescent="0.25">
      <c r="B63" s="44"/>
      <c r="G63" s="3"/>
      <c r="H63" s="3"/>
      <c r="I63" s="3"/>
      <c r="J63" s="3"/>
    </row>
    <row r="64" spans="2:10" x14ac:dyDescent="0.25">
      <c r="B64" s="44"/>
      <c r="G64" s="3"/>
      <c r="H64" s="3"/>
      <c r="I64" s="3"/>
      <c r="J64" s="3"/>
    </row>
    <row r="65" spans="2:10" x14ac:dyDescent="0.25">
      <c r="B65" s="44"/>
      <c r="G65" s="3"/>
      <c r="H65" s="3"/>
      <c r="I65" s="3"/>
      <c r="J65" s="3"/>
    </row>
    <row r="66" spans="2:10" x14ac:dyDescent="0.25">
      <c r="B66" s="44"/>
      <c r="G66" s="3"/>
      <c r="H66" s="3"/>
      <c r="I66" s="3"/>
      <c r="J66" s="3"/>
    </row>
    <row r="67" spans="2:10" x14ac:dyDescent="0.25">
      <c r="B67" s="44"/>
      <c r="G67" s="3"/>
      <c r="H67" s="3"/>
      <c r="I67" s="3"/>
      <c r="J67" s="3"/>
    </row>
    <row r="68" spans="2:10" x14ac:dyDescent="0.25">
      <c r="B68" s="44"/>
      <c r="G68" s="3"/>
      <c r="H68" s="3"/>
      <c r="I68" s="3"/>
      <c r="J68" s="3"/>
    </row>
    <row r="69" spans="2:10" x14ac:dyDescent="0.25">
      <c r="B69" s="44"/>
      <c r="G69" s="3"/>
      <c r="H69" s="3"/>
      <c r="I69" s="3"/>
      <c r="J69" s="3"/>
    </row>
    <row r="70" spans="2:10" x14ac:dyDescent="0.25">
      <c r="B70" s="44"/>
      <c r="G70" s="3"/>
      <c r="H70" s="3"/>
      <c r="I70" s="3"/>
      <c r="J70" s="3"/>
    </row>
    <row r="71" spans="2:10" x14ac:dyDescent="0.25">
      <c r="B71" s="44"/>
      <c r="G71" s="3"/>
      <c r="H71" s="3"/>
      <c r="I71" s="3"/>
      <c r="J71" s="3"/>
    </row>
    <row r="72" spans="2:10" x14ac:dyDescent="0.25">
      <c r="B72" s="44"/>
      <c r="G72" s="3"/>
      <c r="H72" s="3"/>
      <c r="I72" s="3"/>
      <c r="J72" s="3"/>
    </row>
    <row r="73" spans="2:10" x14ac:dyDescent="0.25">
      <c r="B73" s="44"/>
      <c r="G73" s="3"/>
      <c r="H73" s="3"/>
      <c r="I73" s="3"/>
      <c r="J73" s="3"/>
    </row>
    <row r="74" spans="2:10" x14ac:dyDescent="0.25">
      <c r="B74" s="44"/>
      <c r="G74" s="3"/>
      <c r="H74" s="3"/>
      <c r="I74" s="3"/>
      <c r="J74" s="3"/>
    </row>
    <row r="75" spans="2:10" x14ac:dyDescent="0.25">
      <c r="B75" s="44"/>
      <c r="G75" s="3"/>
      <c r="H75" s="3"/>
      <c r="I75" s="3"/>
      <c r="J75" s="3"/>
    </row>
    <row r="76" spans="2:10" x14ac:dyDescent="0.25">
      <c r="B76" s="44"/>
      <c r="G76" s="3"/>
      <c r="H76" s="3"/>
      <c r="I76" s="3"/>
      <c r="J76" s="3"/>
    </row>
    <row r="77" spans="2:10" x14ac:dyDescent="0.25">
      <c r="B77" s="44"/>
      <c r="G77" s="3"/>
      <c r="H77" s="3"/>
      <c r="I77" s="3"/>
      <c r="J77" s="3"/>
    </row>
    <row r="78" spans="2:10" x14ac:dyDescent="0.25">
      <c r="B78" s="44"/>
      <c r="G78" s="3"/>
      <c r="H78" s="3"/>
      <c r="I78" s="3"/>
      <c r="J78" s="3"/>
    </row>
    <row r="79" spans="2:10" x14ac:dyDescent="0.25">
      <c r="B79" s="44"/>
      <c r="G79" s="3"/>
      <c r="H79" s="3"/>
      <c r="I79" s="3"/>
      <c r="J79" s="3"/>
    </row>
    <row r="80" spans="2:10" x14ac:dyDescent="0.25">
      <c r="B80" s="44"/>
      <c r="G80" s="3"/>
      <c r="H80" s="3"/>
      <c r="I80" s="3"/>
      <c r="J80" s="3"/>
    </row>
    <row r="81" spans="2:10" x14ac:dyDescent="0.25">
      <c r="B81" s="44"/>
      <c r="G81" s="3"/>
      <c r="H81" s="3"/>
      <c r="I81" s="3"/>
      <c r="J81" s="3"/>
    </row>
    <row r="82" spans="2:10" x14ac:dyDescent="0.25">
      <c r="B82" s="44"/>
      <c r="G82" s="3"/>
      <c r="H82" s="3"/>
      <c r="I82" s="3"/>
      <c r="J82" s="3"/>
    </row>
    <row r="83" spans="2:10" x14ac:dyDescent="0.25">
      <c r="B83" s="44"/>
      <c r="G83" s="3"/>
      <c r="H83" s="3"/>
      <c r="I83" s="3"/>
      <c r="J83" s="3"/>
    </row>
    <row r="84" spans="2:10" x14ac:dyDescent="0.25">
      <c r="B84" s="44"/>
      <c r="G84" s="3"/>
      <c r="H84" s="3"/>
      <c r="I84" s="3"/>
      <c r="J84" s="3"/>
    </row>
    <row r="85" spans="2:10" x14ac:dyDescent="0.25">
      <c r="B85" s="44"/>
      <c r="G85" s="3"/>
      <c r="H85" s="3"/>
      <c r="I85" s="3"/>
      <c r="J85" s="3"/>
    </row>
    <row r="86" spans="2:10" x14ac:dyDescent="0.25">
      <c r="B86" s="44"/>
      <c r="G86" s="3"/>
      <c r="H86" s="3"/>
      <c r="I86" s="3"/>
      <c r="J86" s="3"/>
    </row>
    <row r="87" spans="2:10" x14ac:dyDescent="0.25">
      <c r="B87" s="44"/>
      <c r="G87" s="3"/>
      <c r="H87" s="3"/>
      <c r="I87" s="3"/>
      <c r="J87" s="3"/>
    </row>
    <row r="88" spans="2:10" x14ac:dyDescent="0.25">
      <c r="B88" s="44"/>
      <c r="G88" s="3"/>
      <c r="H88" s="3"/>
      <c r="I88" s="3"/>
      <c r="J88" s="3"/>
    </row>
    <row r="89" spans="2:10" x14ac:dyDescent="0.25">
      <c r="B89" s="44"/>
      <c r="G89" s="3"/>
      <c r="H89" s="3"/>
      <c r="I89" s="3"/>
      <c r="J89" s="3"/>
    </row>
    <row r="90" spans="2:10" x14ac:dyDescent="0.25">
      <c r="B90" s="44"/>
      <c r="G90" s="3"/>
      <c r="H90" s="3"/>
      <c r="I90" s="3"/>
      <c r="J90" s="3"/>
    </row>
    <row r="91" spans="2:10" x14ac:dyDescent="0.25">
      <c r="B91" s="44"/>
      <c r="G91" s="3"/>
      <c r="H91" s="3"/>
      <c r="I91" s="3"/>
      <c r="J91" s="3"/>
    </row>
    <row r="92" spans="2:10" x14ac:dyDescent="0.25">
      <c r="B92" s="44"/>
      <c r="G92" s="3"/>
      <c r="H92" s="3"/>
      <c r="I92" s="3"/>
      <c r="J92" s="3"/>
    </row>
    <row r="93" spans="2:10" x14ac:dyDescent="0.25">
      <c r="B93" s="44"/>
      <c r="G93" s="3"/>
      <c r="H93" s="3"/>
      <c r="I93" s="3"/>
      <c r="J93" s="3"/>
    </row>
    <row r="94" spans="2:10" x14ac:dyDescent="0.25">
      <c r="B94" s="44"/>
      <c r="G94" s="3"/>
      <c r="H94" s="3"/>
      <c r="I94" s="3"/>
      <c r="J94" s="3"/>
    </row>
    <row r="95" spans="2:10" x14ac:dyDescent="0.25">
      <c r="B95" s="44"/>
      <c r="G95" s="3"/>
      <c r="H95" s="3"/>
      <c r="I95" s="3"/>
      <c r="J95" s="3"/>
    </row>
    <row r="96" spans="2:10" x14ac:dyDescent="0.25">
      <c r="B96" s="44"/>
      <c r="G96" s="3"/>
      <c r="H96" s="3"/>
      <c r="I96" s="3"/>
      <c r="J96" s="3"/>
    </row>
    <row r="97" spans="2:10" x14ac:dyDescent="0.25">
      <c r="B97" s="44"/>
      <c r="G97" s="3"/>
      <c r="H97" s="3"/>
      <c r="I97" s="3"/>
      <c r="J97" s="3"/>
    </row>
    <row r="98" spans="2:10" x14ac:dyDescent="0.25">
      <c r="B98" s="44"/>
      <c r="G98" s="3"/>
      <c r="H98" s="3"/>
      <c r="I98" s="3"/>
      <c r="J98" s="3"/>
    </row>
    <row r="99" spans="2:10" x14ac:dyDescent="0.25">
      <c r="B99" s="44"/>
      <c r="G99" s="3"/>
      <c r="H99" s="3"/>
      <c r="I99" s="3"/>
      <c r="J99" s="3"/>
    </row>
    <row r="100" spans="2:10" x14ac:dyDescent="0.25">
      <c r="B100" s="44"/>
      <c r="G100" s="3"/>
      <c r="H100" s="3"/>
      <c r="I100" s="3"/>
      <c r="J100" s="3"/>
    </row>
    <row r="101" spans="2:10" x14ac:dyDescent="0.25">
      <c r="B101" s="44"/>
      <c r="G101" s="3"/>
      <c r="H101" s="3"/>
      <c r="I101" s="3"/>
      <c r="J101" s="3"/>
    </row>
    <row r="102" spans="2:10" x14ac:dyDescent="0.25">
      <c r="B102" s="44"/>
      <c r="G102" s="3"/>
      <c r="H102" s="3"/>
      <c r="I102" s="3"/>
      <c r="J102" s="3"/>
    </row>
    <row r="103" spans="2:10" x14ac:dyDescent="0.25">
      <c r="B103" s="44"/>
      <c r="G103" s="3"/>
      <c r="H103" s="3"/>
      <c r="I103" s="3"/>
      <c r="J103" s="3"/>
    </row>
    <row r="104" spans="2:10" x14ac:dyDescent="0.25">
      <c r="B104" s="44"/>
      <c r="G104" s="3"/>
      <c r="H104" s="3"/>
      <c r="I104" s="3"/>
      <c r="J104" s="3"/>
    </row>
    <row r="105" spans="2:10" x14ac:dyDescent="0.25">
      <c r="B105" s="44"/>
      <c r="G105" s="3"/>
      <c r="H105" s="3"/>
      <c r="I105" s="3"/>
      <c r="J105" s="3"/>
    </row>
    <row r="106" spans="2:10" x14ac:dyDescent="0.25">
      <c r="B106" s="44"/>
      <c r="G106" s="3"/>
      <c r="H106" s="3"/>
      <c r="I106" s="3"/>
      <c r="J106" s="3"/>
    </row>
    <row r="107" spans="2:10" x14ac:dyDescent="0.25">
      <c r="B107" s="44"/>
      <c r="G107" s="3"/>
      <c r="H107" s="3"/>
      <c r="I107" s="3"/>
      <c r="J107" s="3"/>
    </row>
    <row r="108" spans="2:10" x14ac:dyDescent="0.25">
      <c r="B108" s="44"/>
      <c r="G108" s="3"/>
      <c r="H108" s="3"/>
      <c r="I108" s="3"/>
      <c r="J108" s="3"/>
    </row>
    <row r="109" spans="2:10" x14ac:dyDescent="0.25">
      <c r="B109" s="44"/>
      <c r="G109" s="3"/>
      <c r="H109" s="3"/>
      <c r="I109" s="3"/>
      <c r="J109" s="3"/>
    </row>
    <row r="110" spans="2:10" x14ac:dyDescent="0.25">
      <c r="B110" s="44"/>
      <c r="G110" s="3"/>
      <c r="H110" s="3"/>
      <c r="I110" s="3"/>
      <c r="J110" s="3"/>
    </row>
    <row r="111" spans="2:10" x14ac:dyDescent="0.25">
      <c r="B111" s="44"/>
      <c r="G111" s="3"/>
      <c r="H111" s="3"/>
      <c r="I111" s="3"/>
      <c r="J111" s="3"/>
    </row>
    <row r="112" spans="2:10" x14ac:dyDescent="0.25">
      <c r="B112" s="44"/>
      <c r="G112" s="3"/>
      <c r="H112" s="3"/>
      <c r="I112" s="3"/>
      <c r="J112" s="3"/>
    </row>
    <row r="113" spans="2:10" x14ac:dyDescent="0.25">
      <c r="B113" s="44"/>
      <c r="G113" s="3"/>
      <c r="H113" s="3"/>
      <c r="I113" s="3"/>
      <c r="J113" s="3"/>
    </row>
    <row r="114" spans="2:10" x14ac:dyDescent="0.25">
      <c r="B114" s="44"/>
      <c r="G114" s="3"/>
      <c r="H114" s="3"/>
      <c r="I114" s="3"/>
      <c r="J114" s="3"/>
    </row>
    <row r="115" spans="2:10" x14ac:dyDescent="0.25">
      <c r="B115" s="44"/>
      <c r="G115" s="3"/>
      <c r="H115" s="3"/>
      <c r="I115" s="3"/>
      <c r="J115" s="3"/>
    </row>
    <row r="116" spans="2:10" x14ac:dyDescent="0.25">
      <c r="B116" s="44"/>
      <c r="G116" s="3"/>
      <c r="H116" s="3"/>
      <c r="I116" s="3"/>
      <c r="J116" s="3"/>
    </row>
    <row r="117" spans="2:10" x14ac:dyDescent="0.25">
      <c r="B117" s="44"/>
      <c r="G117" s="3"/>
      <c r="H117" s="3"/>
      <c r="I117" s="3"/>
      <c r="J117" s="3"/>
    </row>
    <row r="118" spans="2:10" x14ac:dyDescent="0.25">
      <c r="B118" s="44"/>
      <c r="G118" s="3"/>
      <c r="H118" s="3"/>
      <c r="I118" s="3"/>
      <c r="J118" s="3"/>
    </row>
    <row r="119" spans="2:10" x14ac:dyDescent="0.25">
      <c r="B119" s="44"/>
      <c r="G119" s="3"/>
      <c r="H119" s="3"/>
      <c r="I119" s="3"/>
      <c r="J119" s="3"/>
    </row>
    <row r="120" spans="2:10" x14ac:dyDescent="0.25">
      <c r="B120" s="44"/>
      <c r="G120" s="3"/>
      <c r="H120" s="3"/>
      <c r="I120" s="3"/>
      <c r="J120" s="3"/>
    </row>
    <row r="121" spans="2:10" x14ac:dyDescent="0.25">
      <c r="B121" s="44"/>
      <c r="G121" s="3"/>
      <c r="H121" s="3"/>
      <c r="I121" s="3"/>
      <c r="J121" s="3"/>
    </row>
    <row r="122" spans="2:10" x14ac:dyDescent="0.25">
      <c r="B122" s="44"/>
      <c r="G122" s="3"/>
      <c r="H122" s="3"/>
      <c r="I122" s="3"/>
      <c r="J122" s="3"/>
    </row>
    <row r="123" spans="2:10" x14ac:dyDescent="0.25">
      <c r="B123" s="44"/>
      <c r="G123" s="3"/>
      <c r="H123" s="3"/>
      <c r="I123" s="3"/>
      <c r="J123" s="3"/>
    </row>
    <row r="124" spans="2:10" x14ac:dyDescent="0.25">
      <c r="B124" s="44"/>
      <c r="G124" s="3"/>
      <c r="H124" s="3"/>
      <c r="I124" s="3"/>
      <c r="J124" s="3"/>
    </row>
    <row r="125" spans="2:10" x14ac:dyDescent="0.25">
      <c r="B125" s="44"/>
      <c r="G125" s="3"/>
      <c r="H125" s="3"/>
      <c r="I125" s="3"/>
      <c r="J125" s="3"/>
    </row>
    <row r="126" spans="2:10" x14ac:dyDescent="0.25">
      <c r="B126" s="44"/>
      <c r="G126" s="3"/>
      <c r="H126" s="3"/>
      <c r="I126" s="3"/>
      <c r="J126" s="3"/>
    </row>
    <row r="127" spans="2:10" x14ac:dyDescent="0.25">
      <c r="B127" s="44"/>
      <c r="G127" s="3"/>
      <c r="H127" s="3"/>
      <c r="I127" s="3"/>
      <c r="J127" s="3"/>
    </row>
    <row r="128" spans="2:10" x14ac:dyDescent="0.25">
      <c r="B128" s="44"/>
      <c r="G128" s="3"/>
      <c r="H128" s="3"/>
      <c r="I128" s="3"/>
      <c r="J128" s="3"/>
    </row>
    <row r="129" spans="2:10" x14ac:dyDescent="0.25">
      <c r="B129" s="44"/>
      <c r="G129" s="3"/>
      <c r="H129" s="3"/>
      <c r="I129" s="3"/>
      <c r="J129" s="3"/>
    </row>
    <row r="130" spans="2:10" x14ac:dyDescent="0.25">
      <c r="B130" s="44"/>
      <c r="G130" s="3"/>
      <c r="H130" s="3"/>
      <c r="I130" s="3"/>
      <c r="J130" s="3"/>
    </row>
    <row r="131" spans="2:10" x14ac:dyDescent="0.25">
      <c r="B131" s="44"/>
      <c r="G131" s="3"/>
      <c r="H131" s="3"/>
      <c r="I131" s="3"/>
      <c r="J131" s="3"/>
    </row>
    <row r="132" spans="2:10" x14ac:dyDescent="0.25">
      <c r="B132" s="44"/>
      <c r="G132" s="3"/>
      <c r="H132" s="3"/>
      <c r="I132" s="3"/>
      <c r="J132" s="3"/>
    </row>
    <row r="133" spans="2:10" x14ac:dyDescent="0.25">
      <c r="B133" s="44"/>
      <c r="G133" s="3"/>
      <c r="H133" s="3"/>
      <c r="I133" s="3"/>
      <c r="J133" s="3"/>
    </row>
    <row r="134" spans="2:10" x14ac:dyDescent="0.25">
      <c r="B134" s="44"/>
      <c r="G134" s="3"/>
      <c r="H134" s="3"/>
      <c r="I134" s="3"/>
      <c r="J134" s="3"/>
    </row>
    <row r="135" spans="2:10" x14ac:dyDescent="0.25">
      <c r="B135" s="44"/>
      <c r="G135" s="3"/>
      <c r="H135" s="3"/>
      <c r="I135" s="3"/>
      <c r="J135" s="3"/>
    </row>
    <row r="136" spans="2:10" x14ac:dyDescent="0.25">
      <c r="B136" s="44"/>
      <c r="G136" s="3"/>
      <c r="H136" s="3"/>
      <c r="I136" s="3"/>
      <c r="J136" s="3"/>
    </row>
    <row r="137" spans="2:10" x14ac:dyDescent="0.25">
      <c r="B137" s="44"/>
      <c r="G137" s="3"/>
      <c r="H137" s="3"/>
      <c r="I137" s="3"/>
      <c r="J137" s="3"/>
    </row>
    <row r="138" spans="2:10" x14ac:dyDescent="0.25">
      <c r="B138" s="44"/>
      <c r="G138" s="3"/>
      <c r="H138" s="3"/>
      <c r="I138" s="3"/>
      <c r="J138" s="3"/>
    </row>
    <row r="139" spans="2:10" x14ac:dyDescent="0.25">
      <c r="B139" s="44"/>
      <c r="G139" s="3"/>
      <c r="H139" s="3"/>
      <c r="I139" s="3"/>
      <c r="J139" s="3"/>
    </row>
    <row r="140" spans="2:10" x14ac:dyDescent="0.25">
      <c r="B140" s="44"/>
      <c r="G140" s="3"/>
      <c r="H140" s="3"/>
      <c r="I140" s="3"/>
      <c r="J140" s="3"/>
    </row>
    <row r="141" spans="2:10" x14ac:dyDescent="0.25">
      <c r="B141" s="44"/>
      <c r="G141" s="3"/>
      <c r="H141" s="3"/>
      <c r="I141" s="3"/>
      <c r="J141" s="3"/>
    </row>
    <row r="142" spans="2:10" x14ac:dyDescent="0.25">
      <c r="B142" s="44"/>
      <c r="G142" s="3"/>
      <c r="H142" s="3"/>
      <c r="I142" s="3"/>
      <c r="J142" s="3"/>
    </row>
    <row r="143" spans="2:10" x14ac:dyDescent="0.25">
      <c r="B143" s="44"/>
      <c r="G143" s="3"/>
      <c r="H143" s="3"/>
      <c r="I143" s="3"/>
      <c r="J143" s="3"/>
    </row>
    <row r="144" spans="2:10" x14ac:dyDescent="0.25">
      <c r="B144" s="44"/>
      <c r="G144" s="3"/>
      <c r="H144" s="3"/>
      <c r="I144" s="3"/>
      <c r="J144" s="3"/>
    </row>
    <row r="145" spans="2:10" x14ac:dyDescent="0.25">
      <c r="B145" s="44"/>
      <c r="G145" s="3"/>
      <c r="H145" s="3"/>
      <c r="I145" s="3"/>
      <c r="J145" s="3"/>
    </row>
    <row r="146" spans="2:10" x14ac:dyDescent="0.25">
      <c r="B146" s="44"/>
      <c r="G146" s="3"/>
      <c r="H146" s="3"/>
      <c r="I146" s="3"/>
      <c r="J146" s="3"/>
    </row>
    <row r="147" spans="2:10" x14ac:dyDescent="0.25">
      <c r="B147" s="44"/>
      <c r="G147" s="3"/>
      <c r="H147" s="3"/>
      <c r="I147" s="3"/>
      <c r="J147" s="3"/>
    </row>
    <row r="148" spans="2:10" x14ac:dyDescent="0.25">
      <c r="B148" s="44"/>
      <c r="G148" s="3"/>
      <c r="H148" s="3"/>
      <c r="I148" s="3"/>
      <c r="J148" s="3"/>
    </row>
    <row r="149" spans="2:10" x14ac:dyDescent="0.25">
      <c r="B149" s="44"/>
      <c r="G149" s="3"/>
      <c r="H149" s="3"/>
      <c r="I149" s="3"/>
      <c r="J149" s="3"/>
    </row>
    <row r="150" spans="2:10" x14ac:dyDescent="0.25">
      <c r="B150" s="44"/>
      <c r="G150" s="3"/>
      <c r="H150" s="3"/>
      <c r="I150" s="3"/>
      <c r="J150" s="3"/>
    </row>
    <row r="151" spans="2:10" x14ac:dyDescent="0.25">
      <c r="B151" s="44"/>
      <c r="G151" s="3"/>
      <c r="H151" s="3"/>
      <c r="I151" s="3"/>
      <c r="J151" s="3"/>
    </row>
    <row r="152" spans="2:10" x14ac:dyDescent="0.25">
      <c r="B152" s="44"/>
      <c r="G152" s="3"/>
      <c r="H152" s="3"/>
      <c r="I152" s="3"/>
      <c r="J152" s="3"/>
    </row>
    <row r="153" spans="2:10" x14ac:dyDescent="0.25">
      <c r="B153" s="44"/>
      <c r="G153" s="3"/>
      <c r="H153" s="3"/>
      <c r="I153" s="3"/>
      <c r="J153" s="3"/>
    </row>
    <row r="154" spans="2:10" x14ac:dyDescent="0.25">
      <c r="B154" s="44"/>
      <c r="G154" s="3"/>
      <c r="H154" s="3"/>
      <c r="I154" s="3"/>
      <c r="J154" s="3"/>
    </row>
    <row r="155" spans="2:10" x14ac:dyDescent="0.25">
      <c r="B155" s="44"/>
      <c r="G155" s="3"/>
      <c r="H155" s="3"/>
      <c r="I155" s="3"/>
      <c r="J155" s="3"/>
    </row>
    <row r="156" spans="2:10" x14ac:dyDescent="0.25">
      <c r="B156" s="44"/>
      <c r="G156" s="3"/>
      <c r="H156" s="3"/>
      <c r="I156" s="3"/>
      <c r="J156" s="3"/>
    </row>
    <row r="157" spans="2:10" x14ac:dyDescent="0.25">
      <c r="B157" s="44"/>
      <c r="G157" s="3"/>
      <c r="H157" s="3"/>
      <c r="I157" s="3"/>
      <c r="J157" s="3"/>
    </row>
    <row r="158" spans="2:10" x14ac:dyDescent="0.25">
      <c r="B158" s="44"/>
      <c r="G158" s="3"/>
      <c r="H158" s="3"/>
      <c r="I158" s="3"/>
      <c r="J158" s="3"/>
    </row>
    <row r="159" spans="2:10" x14ac:dyDescent="0.25">
      <c r="B159" s="44"/>
      <c r="G159" s="3"/>
      <c r="H159" s="3"/>
      <c r="I159" s="3"/>
      <c r="J159" s="3"/>
    </row>
    <row r="160" spans="2:10" x14ac:dyDescent="0.25">
      <c r="B160" s="44"/>
      <c r="G160" s="3"/>
      <c r="H160" s="3"/>
      <c r="I160" s="3"/>
      <c r="J160" s="3"/>
    </row>
    <row r="161" spans="2:10" x14ac:dyDescent="0.25">
      <c r="B161" s="44"/>
      <c r="G161" s="3"/>
      <c r="H161" s="3"/>
      <c r="I161" s="3"/>
      <c r="J161" s="3"/>
    </row>
    <row r="162" spans="2:10" x14ac:dyDescent="0.25">
      <c r="B162" s="44"/>
      <c r="G162" s="3"/>
      <c r="H162" s="3"/>
      <c r="I162" s="3"/>
      <c r="J162" s="3"/>
    </row>
    <row r="163" spans="2:10" x14ac:dyDescent="0.25">
      <c r="B163" s="44"/>
      <c r="G163" s="3"/>
      <c r="H163" s="3"/>
      <c r="I163" s="3"/>
      <c r="J163" s="3"/>
    </row>
    <row r="164" spans="2:10" x14ac:dyDescent="0.25">
      <c r="B164" s="44"/>
      <c r="G164" s="3"/>
      <c r="H164" s="3"/>
      <c r="I164" s="3"/>
      <c r="J164" s="3"/>
    </row>
    <row r="165" spans="2:10" x14ac:dyDescent="0.25">
      <c r="B165" s="44"/>
      <c r="G165" s="3"/>
      <c r="H165" s="3"/>
      <c r="I165" s="3"/>
      <c r="J165" s="3"/>
    </row>
    <row r="166" spans="2:10" x14ac:dyDescent="0.25">
      <c r="B166" s="44"/>
      <c r="G166" s="3"/>
      <c r="H166" s="3"/>
      <c r="I166" s="3"/>
      <c r="J166" s="3"/>
    </row>
    <row r="167" spans="2:10" x14ac:dyDescent="0.25">
      <c r="B167" s="44"/>
      <c r="G167" s="3"/>
      <c r="H167" s="3"/>
      <c r="I167" s="3"/>
      <c r="J167" s="3"/>
    </row>
    <row r="168" spans="2:10" x14ac:dyDescent="0.25">
      <c r="B168" s="44"/>
      <c r="G168" s="3"/>
      <c r="H168" s="3"/>
      <c r="I168" s="3"/>
      <c r="J168" s="3"/>
    </row>
    <row r="169" spans="2:10" x14ac:dyDescent="0.25">
      <c r="B169" s="44"/>
      <c r="G169" s="3"/>
      <c r="H169" s="3"/>
      <c r="I169" s="3"/>
      <c r="J169" s="3"/>
    </row>
    <row r="170" spans="2:10" x14ac:dyDescent="0.25">
      <c r="B170" s="44"/>
      <c r="G170" s="3"/>
      <c r="H170" s="3"/>
      <c r="I170" s="3"/>
      <c r="J170" s="3"/>
    </row>
    <row r="171" spans="2:10" x14ac:dyDescent="0.25">
      <c r="B171" s="44"/>
      <c r="G171" s="3"/>
      <c r="H171" s="3"/>
      <c r="I171" s="3"/>
      <c r="J171" s="3"/>
    </row>
    <row r="172" spans="2:10" x14ac:dyDescent="0.25">
      <c r="B172" s="44"/>
      <c r="G172" s="3"/>
      <c r="H172" s="3"/>
      <c r="I172" s="3"/>
      <c r="J172" s="3"/>
    </row>
    <row r="173" spans="2:10" x14ac:dyDescent="0.25">
      <c r="B173" s="44"/>
      <c r="G173" s="3"/>
      <c r="H173" s="3"/>
      <c r="I173" s="3"/>
      <c r="J173" s="3"/>
    </row>
    <row r="174" spans="2:10" x14ac:dyDescent="0.25">
      <c r="B174" s="44"/>
      <c r="G174" s="3"/>
      <c r="H174" s="3"/>
      <c r="I174" s="3"/>
      <c r="J174" s="3"/>
    </row>
    <row r="175" spans="2:10" x14ac:dyDescent="0.25">
      <c r="B175" s="44"/>
      <c r="G175" s="3"/>
      <c r="H175" s="3"/>
      <c r="I175" s="3"/>
      <c r="J175" s="3"/>
    </row>
    <row r="176" spans="2:10" x14ac:dyDescent="0.25">
      <c r="B176" s="44"/>
      <c r="G176" s="3"/>
      <c r="H176" s="3"/>
      <c r="I176" s="3"/>
      <c r="J176" s="3"/>
    </row>
    <row r="177" spans="2:10" x14ac:dyDescent="0.25">
      <c r="B177" s="44"/>
      <c r="G177" s="3"/>
      <c r="H177" s="3"/>
      <c r="I177" s="3"/>
      <c r="J177" s="3"/>
    </row>
    <row r="178" spans="2:10" x14ac:dyDescent="0.25">
      <c r="B178" s="44"/>
      <c r="G178" s="3"/>
      <c r="H178" s="3"/>
      <c r="I178" s="3"/>
      <c r="J178" s="3"/>
    </row>
    <row r="179" spans="2:10" x14ac:dyDescent="0.25">
      <c r="B179" s="44"/>
      <c r="G179" s="3"/>
      <c r="H179" s="3"/>
      <c r="I179" s="3"/>
      <c r="J179" s="3"/>
    </row>
    <row r="180" spans="2:10" x14ac:dyDescent="0.25">
      <c r="B180" s="44"/>
      <c r="G180" s="3"/>
      <c r="H180" s="3"/>
      <c r="I180" s="3"/>
      <c r="J180" s="3"/>
    </row>
    <row r="181" spans="2:10" x14ac:dyDescent="0.25">
      <c r="B181" s="44"/>
      <c r="G181" s="3"/>
      <c r="H181" s="3"/>
      <c r="I181" s="3"/>
      <c r="J181" s="3"/>
    </row>
    <row r="182" spans="2:10" x14ac:dyDescent="0.25">
      <c r="B182" s="44"/>
      <c r="G182" s="3"/>
      <c r="H182" s="3"/>
      <c r="I182" s="3"/>
      <c r="J182" s="3"/>
    </row>
    <row r="183" spans="2:10" x14ac:dyDescent="0.25">
      <c r="B183" s="44"/>
      <c r="G183" s="3"/>
      <c r="H183" s="3"/>
      <c r="I183" s="3"/>
      <c r="J183" s="3"/>
    </row>
    <row r="184" spans="2:10" x14ac:dyDescent="0.25">
      <c r="B184" s="44"/>
      <c r="G184" s="3"/>
      <c r="H184" s="3"/>
      <c r="I184" s="3"/>
      <c r="J184" s="3"/>
    </row>
    <row r="185" spans="2:10" x14ac:dyDescent="0.25">
      <c r="B185" s="44"/>
      <c r="G185" s="3"/>
      <c r="H185" s="3"/>
      <c r="I185" s="3"/>
      <c r="J185" s="3"/>
    </row>
    <row r="186" spans="2:10" x14ac:dyDescent="0.25">
      <c r="B186" s="44"/>
      <c r="G186" s="3"/>
      <c r="H186" s="3"/>
      <c r="I186" s="3"/>
      <c r="J186" s="3"/>
    </row>
    <row r="187" spans="2:10" x14ac:dyDescent="0.25">
      <c r="B187" s="44"/>
      <c r="G187" s="3"/>
      <c r="H187" s="3"/>
      <c r="I187" s="3"/>
      <c r="J187" s="3"/>
    </row>
    <row r="188" spans="2:10" x14ac:dyDescent="0.25">
      <c r="B188" s="44"/>
      <c r="G188" s="3"/>
      <c r="H188" s="3"/>
      <c r="I188" s="3"/>
      <c r="J188" s="3"/>
    </row>
    <row r="189" spans="2:10" x14ac:dyDescent="0.25">
      <c r="B189" s="44"/>
      <c r="G189" s="3"/>
      <c r="H189" s="3"/>
      <c r="I189" s="3"/>
      <c r="J189" s="3"/>
    </row>
    <row r="190" spans="2:10" x14ac:dyDescent="0.25">
      <c r="B190" s="44"/>
      <c r="G190" s="3"/>
      <c r="H190" s="3"/>
      <c r="I190" s="3"/>
      <c r="J190" s="3"/>
    </row>
    <row r="191" spans="2:10" x14ac:dyDescent="0.25">
      <c r="B191" s="44"/>
      <c r="G191" s="3"/>
      <c r="H191" s="3"/>
      <c r="I191" s="3"/>
      <c r="J191" s="3"/>
    </row>
    <row r="192" spans="2:10" x14ac:dyDescent="0.25">
      <c r="B192" s="44"/>
      <c r="G192" s="3"/>
      <c r="H192" s="3"/>
      <c r="I192" s="3"/>
      <c r="J192" s="3"/>
    </row>
    <row r="193" spans="2:10" x14ac:dyDescent="0.25">
      <c r="B193" s="44"/>
      <c r="G193" s="3"/>
      <c r="H193" s="3"/>
      <c r="I193" s="3"/>
      <c r="J193" s="3"/>
    </row>
    <row r="194" spans="2:10" x14ac:dyDescent="0.25">
      <c r="B194" s="44"/>
      <c r="G194" s="3"/>
      <c r="H194" s="3"/>
      <c r="I194" s="3"/>
      <c r="J194" s="3"/>
    </row>
    <row r="195" spans="2:10" x14ac:dyDescent="0.25">
      <c r="B195" s="44"/>
      <c r="G195" s="3"/>
      <c r="H195" s="3"/>
      <c r="I195" s="3"/>
      <c r="J195" s="3"/>
    </row>
    <row r="196" spans="2:10" x14ac:dyDescent="0.25">
      <c r="B196" s="44"/>
      <c r="G196" s="3"/>
      <c r="H196" s="3"/>
      <c r="I196" s="3"/>
      <c r="J196" s="3"/>
    </row>
    <row r="197" spans="2:10" x14ac:dyDescent="0.25">
      <c r="B197" s="44"/>
      <c r="G197" s="3"/>
      <c r="H197" s="3"/>
      <c r="I197" s="3"/>
      <c r="J197" s="3"/>
    </row>
    <row r="198" spans="2:10" x14ac:dyDescent="0.25">
      <c r="B198" s="44"/>
      <c r="G198" s="3"/>
      <c r="H198" s="3"/>
      <c r="I198" s="3"/>
      <c r="J198" s="3"/>
    </row>
    <row r="199" spans="2:10" x14ac:dyDescent="0.25">
      <c r="B199" s="44"/>
      <c r="G199" s="3"/>
      <c r="H199" s="3"/>
      <c r="I199" s="3"/>
      <c r="J199" s="3"/>
    </row>
    <row r="200" spans="2:10" x14ac:dyDescent="0.25">
      <c r="B200" s="44"/>
      <c r="G200" s="3"/>
      <c r="H200" s="3"/>
      <c r="I200" s="3"/>
      <c r="J200" s="3"/>
    </row>
  </sheetData>
  <dataValidations count="2">
    <dataValidation type="list" allowBlank="1" showInputMessage="1" showErrorMessage="1" sqref="C4:C200" xr:uid="{1E1DDA38-EDD5-4F1D-B264-0BEFAAEDC621}">
      <formula1>"Хаяг,Хэвлэл"</formula1>
    </dataValidation>
    <dataValidation type="list" allowBlank="1" showInputMessage="1" showErrorMessage="1" sqref="K4:K200" xr:uid="{9112F65E-A417-4715-9CD7-D9B2AFB3E4F7}">
      <formula1>"Хүлээгдэж буй,Баталсан,Дууссан,Цуцалсан"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9F7A-469B-4394-BE48-35E9855BA122}">
  <dimension ref="A1:A202"/>
  <sheetViews>
    <sheetView tabSelected="1" topLeftCell="A7" workbookViewId="0">
      <selection activeCell="C17" sqref="C17"/>
    </sheetView>
  </sheetViews>
  <sheetFormatPr defaultRowHeight="15" x14ac:dyDescent="0.25"/>
  <cols>
    <col min="1" max="1" width="171.42578125" customWidth="1"/>
  </cols>
  <sheetData>
    <row r="1" spans="1:1" ht="18.75" x14ac:dyDescent="0.3">
      <c r="A1" s="38" t="s">
        <v>263</v>
      </c>
    </row>
    <row r="2" spans="1:1" x14ac:dyDescent="0.25">
      <c r="A2" s="8" t="s">
        <v>264</v>
      </c>
    </row>
    <row r="4" spans="1:1" x14ac:dyDescent="0.25">
      <c r="A4" s="48" t="s">
        <v>265</v>
      </c>
    </row>
    <row r="5" spans="1:1" ht="15.75" x14ac:dyDescent="0.25">
      <c r="A5" s="49" t="s">
        <v>266</v>
      </c>
    </row>
    <row r="6" spans="1:1" x14ac:dyDescent="0.25">
      <c r="A6" s="48" t="s">
        <v>265</v>
      </c>
    </row>
    <row r="7" spans="1:1" x14ac:dyDescent="0.25">
      <c r="A7" t="s">
        <v>267</v>
      </c>
    </row>
    <row r="9" spans="1:1" x14ac:dyDescent="0.25">
      <c r="A9" s="50" t="s">
        <v>268</v>
      </c>
    </row>
    <row r="10" spans="1:1" x14ac:dyDescent="0.25">
      <c r="A10" t="s">
        <v>269</v>
      </c>
    </row>
    <row r="11" spans="1:1" x14ac:dyDescent="0.25">
      <c r="A11" t="s">
        <v>270</v>
      </c>
    </row>
    <row r="13" spans="1:1" x14ac:dyDescent="0.25">
      <c r="A13" s="50" t="s">
        <v>271</v>
      </c>
    </row>
    <row r="14" spans="1:1" x14ac:dyDescent="0.25">
      <c r="A14" t="s">
        <v>272</v>
      </c>
    </row>
    <row r="15" spans="1:1" x14ac:dyDescent="0.25">
      <c r="A15" t="s">
        <v>273</v>
      </c>
    </row>
    <row r="17" spans="1:1" x14ac:dyDescent="0.25">
      <c r="A17" t="s">
        <v>274</v>
      </c>
    </row>
    <row r="18" spans="1:1" x14ac:dyDescent="0.25">
      <c r="A18" t="s">
        <v>275</v>
      </c>
    </row>
    <row r="19" spans="1:1" x14ac:dyDescent="0.25">
      <c r="A19" t="s">
        <v>276</v>
      </c>
    </row>
    <row r="21" spans="1:1" x14ac:dyDescent="0.25">
      <c r="A21" t="s">
        <v>277</v>
      </c>
    </row>
    <row r="22" spans="1:1" x14ac:dyDescent="0.25">
      <c r="A22" t="s">
        <v>278</v>
      </c>
    </row>
    <row r="23" spans="1:1" x14ac:dyDescent="0.25">
      <c r="A23" t="s">
        <v>279</v>
      </c>
    </row>
    <row r="25" spans="1:1" x14ac:dyDescent="0.25">
      <c r="A25" s="50" t="s">
        <v>280</v>
      </c>
    </row>
    <row r="26" spans="1:1" x14ac:dyDescent="0.25">
      <c r="A26" t="s">
        <v>281</v>
      </c>
    </row>
    <row r="27" spans="1:1" x14ac:dyDescent="0.25">
      <c r="A27" t="s">
        <v>282</v>
      </c>
    </row>
    <row r="28" spans="1:1" x14ac:dyDescent="0.25">
      <c r="A28" t="s">
        <v>283</v>
      </c>
    </row>
    <row r="30" spans="1:1" x14ac:dyDescent="0.25">
      <c r="A30" t="s">
        <v>284</v>
      </c>
    </row>
    <row r="31" spans="1:1" x14ac:dyDescent="0.25">
      <c r="A31" t="s">
        <v>285</v>
      </c>
    </row>
    <row r="32" spans="1:1" x14ac:dyDescent="0.25">
      <c r="A32" t="s">
        <v>286</v>
      </c>
    </row>
    <row r="33" spans="1:1" x14ac:dyDescent="0.25">
      <c r="A33" t="s">
        <v>287</v>
      </c>
    </row>
    <row r="34" spans="1:1" x14ac:dyDescent="0.25">
      <c r="A34" t="s">
        <v>288</v>
      </c>
    </row>
    <row r="35" spans="1:1" x14ac:dyDescent="0.25">
      <c r="A35" t="s">
        <v>289</v>
      </c>
    </row>
    <row r="36" spans="1:1" x14ac:dyDescent="0.25">
      <c r="A36" t="s">
        <v>290</v>
      </c>
    </row>
    <row r="37" spans="1:1" x14ac:dyDescent="0.25">
      <c r="A37" t="s">
        <v>291</v>
      </c>
    </row>
    <row r="38" spans="1:1" x14ac:dyDescent="0.25">
      <c r="A38" t="s">
        <v>292</v>
      </c>
    </row>
    <row r="39" spans="1:1" x14ac:dyDescent="0.25">
      <c r="A39" t="s">
        <v>293</v>
      </c>
    </row>
    <row r="41" spans="1:1" x14ac:dyDescent="0.25">
      <c r="A41" t="s">
        <v>294</v>
      </c>
    </row>
    <row r="42" spans="1:1" x14ac:dyDescent="0.25">
      <c r="A42" t="s">
        <v>295</v>
      </c>
    </row>
    <row r="43" spans="1:1" x14ac:dyDescent="0.25">
      <c r="A43" t="s">
        <v>296</v>
      </c>
    </row>
    <row r="44" spans="1:1" x14ac:dyDescent="0.25">
      <c r="A44" t="s">
        <v>297</v>
      </c>
    </row>
    <row r="45" spans="1:1" x14ac:dyDescent="0.25">
      <c r="A45" t="s">
        <v>298</v>
      </c>
    </row>
    <row r="46" spans="1:1" x14ac:dyDescent="0.25">
      <c r="A46" t="s">
        <v>299</v>
      </c>
    </row>
    <row r="47" spans="1:1" x14ac:dyDescent="0.25">
      <c r="A47" t="s">
        <v>300</v>
      </c>
    </row>
    <row r="48" spans="1:1" x14ac:dyDescent="0.25">
      <c r="A48" t="s">
        <v>301</v>
      </c>
    </row>
    <row r="49" spans="1:1" x14ac:dyDescent="0.25">
      <c r="A49" t="s">
        <v>302</v>
      </c>
    </row>
    <row r="50" spans="1:1" x14ac:dyDescent="0.25">
      <c r="A50" t="s">
        <v>303</v>
      </c>
    </row>
    <row r="52" spans="1:1" x14ac:dyDescent="0.25">
      <c r="A52" t="s">
        <v>304</v>
      </c>
    </row>
    <row r="53" spans="1:1" x14ac:dyDescent="0.25">
      <c r="A53" t="s">
        <v>305</v>
      </c>
    </row>
    <row r="54" spans="1:1" x14ac:dyDescent="0.25">
      <c r="A54" t="s">
        <v>306</v>
      </c>
    </row>
    <row r="55" spans="1:1" x14ac:dyDescent="0.25">
      <c r="A55" t="s">
        <v>307</v>
      </c>
    </row>
    <row r="56" spans="1:1" x14ac:dyDescent="0.25">
      <c r="A56" t="s">
        <v>308</v>
      </c>
    </row>
    <row r="57" spans="1:1" x14ac:dyDescent="0.25">
      <c r="A57" t="s">
        <v>309</v>
      </c>
    </row>
    <row r="58" spans="1:1" x14ac:dyDescent="0.25">
      <c r="A58" t="s">
        <v>310</v>
      </c>
    </row>
    <row r="60" spans="1:1" x14ac:dyDescent="0.25">
      <c r="A60" s="50" t="s">
        <v>311</v>
      </c>
    </row>
    <row r="62" spans="1:1" x14ac:dyDescent="0.25">
      <c r="A62" s="51" t="s">
        <v>312</v>
      </c>
    </row>
    <row r="63" spans="1:1" x14ac:dyDescent="0.25">
      <c r="A63" t="s">
        <v>313</v>
      </c>
    </row>
    <row r="64" spans="1:1" x14ac:dyDescent="0.25">
      <c r="A64" t="s">
        <v>314</v>
      </c>
    </row>
    <row r="65" spans="1:1" x14ac:dyDescent="0.25">
      <c r="A65" t="s">
        <v>315</v>
      </c>
    </row>
    <row r="67" spans="1:1" x14ac:dyDescent="0.25">
      <c r="A67" s="51" t="s">
        <v>316</v>
      </c>
    </row>
    <row r="68" spans="1:1" x14ac:dyDescent="0.25">
      <c r="A68" t="s">
        <v>317</v>
      </c>
    </row>
    <row r="69" spans="1:1" x14ac:dyDescent="0.25">
      <c r="A69" t="s">
        <v>318</v>
      </c>
    </row>
    <row r="71" spans="1:1" x14ac:dyDescent="0.25">
      <c r="A71" s="51" t="s">
        <v>319</v>
      </c>
    </row>
    <row r="72" spans="1:1" x14ac:dyDescent="0.25">
      <c r="A72" t="s">
        <v>320</v>
      </c>
    </row>
    <row r="73" spans="1:1" x14ac:dyDescent="0.25">
      <c r="A73" t="s">
        <v>321</v>
      </c>
    </row>
    <row r="74" spans="1:1" x14ac:dyDescent="0.25">
      <c r="A74" t="s">
        <v>322</v>
      </c>
    </row>
    <row r="75" spans="1:1" x14ac:dyDescent="0.25">
      <c r="A75" t="s">
        <v>323</v>
      </c>
    </row>
    <row r="77" spans="1:1" x14ac:dyDescent="0.25">
      <c r="A77" s="51" t="s">
        <v>324</v>
      </c>
    </row>
    <row r="78" spans="1:1" x14ac:dyDescent="0.25">
      <c r="A78" t="s">
        <v>325</v>
      </c>
    </row>
    <row r="79" spans="1:1" x14ac:dyDescent="0.25">
      <c r="A79" t="s">
        <v>326</v>
      </c>
    </row>
    <row r="80" spans="1:1" x14ac:dyDescent="0.25">
      <c r="A80" t="s">
        <v>327</v>
      </c>
    </row>
    <row r="81" spans="1:1" x14ac:dyDescent="0.25">
      <c r="A81" t="s">
        <v>328</v>
      </c>
    </row>
    <row r="82" spans="1:1" x14ac:dyDescent="0.25">
      <c r="A82" t="s">
        <v>329</v>
      </c>
    </row>
    <row r="84" spans="1:1" x14ac:dyDescent="0.25">
      <c r="A84" s="51" t="s">
        <v>330</v>
      </c>
    </row>
    <row r="85" spans="1:1" x14ac:dyDescent="0.25">
      <c r="A85" t="s">
        <v>331</v>
      </c>
    </row>
    <row r="86" spans="1:1" x14ac:dyDescent="0.25">
      <c r="A86" t="s">
        <v>332</v>
      </c>
    </row>
    <row r="88" spans="1:1" x14ac:dyDescent="0.25">
      <c r="A88" s="50" t="s">
        <v>333</v>
      </c>
    </row>
    <row r="89" spans="1:1" x14ac:dyDescent="0.25">
      <c r="A89" t="s">
        <v>334</v>
      </c>
    </row>
    <row r="90" spans="1:1" x14ac:dyDescent="0.25">
      <c r="A90" t="s">
        <v>335</v>
      </c>
    </row>
    <row r="92" spans="1:1" x14ac:dyDescent="0.25">
      <c r="A92" s="1" t="s">
        <v>336</v>
      </c>
    </row>
    <row r="93" spans="1:1" x14ac:dyDescent="0.25">
      <c r="A93" t="s">
        <v>337</v>
      </c>
    </row>
    <row r="94" spans="1:1" x14ac:dyDescent="0.25">
      <c r="A94" t="s">
        <v>338</v>
      </c>
    </row>
    <row r="95" spans="1:1" x14ac:dyDescent="0.25">
      <c r="A95" t="s">
        <v>339</v>
      </c>
    </row>
    <row r="97" spans="1:1" x14ac:dyDescent="0.25">
      <c r="A97" s="50" t="s">
        <v>340</v>
      </c>
    </row>
    <row r="98" spans="1:1" x14ac:dyDescent="0.25">
      <c r="A98" t="s">
        <v>341</v>
      </c>
    </row>
    <row r="99" spans="1:1" x14ac:dyDescent="0.25">
      <c r="A99" t="s">
        <v>342</v>
      </c>
    </row>
    <row r="100" spans="1:1" x14ac:dyDescent="0.25">
      <c r="A100" t="s">
        <v>343</v>
      </c>
    </row>
    <row r="102" spans="1:1" x14ac:dyDescent="0.25">
      <c r="A102" s="50" t="s">
        <v>344</v>
      </c>
    </row>
    <row r="104" spans="1:1" x14ac:dyDescent="0.25">
      <c r="A104" s="1" t="s">
        <v>345</v>
      </c>
    </row>
    <row r="105" spans="1:1" x14ac:dyDescent="0.25">
      <c r="A105" t="s">
        <v>346</v>
      </c>
    </row>
    <row r="107" spans="1:1" x14ac:dyDescent="0.25">
      <c r="A107" s="1" t="s">
        <v>347</v>
      </c>
    </row>
    <row r="109" spans="1:1" x14ac:dyDescent="0.25">
      <c r="A109" s="24" t="s">
        <v>348</v>
      </c>
    </row>
    <row r="110" spans="1:1" x14ac:dyDescent="0.25">
      <c r="A110" t="s">
        <v>349</v>
      </c>
    </row>
    <row r="111" spans="1:1" x14ac:dyDescent="0.25">
      <c r="A111" t="s">
        <v>350</v>
      </c>
    </row>
    <row r="112" spans="1:1" x14ac:dyDescent="0.25">
      <c r="A112" t="s">
        <v>351</v>
      </c>
    </row>
    <row r="114" spans="1:1" x14ac:dyDescent="0.25">
      <c r="A114" s="24" t="s">
        <v>352</v>
      </c>
    </row>
    <row r="115" spans="1:1" x14ac:dyDescent="0.25">
      <c r="A115" t="s">
        <v>353</v>
      </c>
    </row>
    <row r="116" spans="1:1" x14ac:dyDescent="0.25">
      <c r="A116" t="s">
        <v>354</v>
      </c>
    </row>
    <row r="117" spans="1:1" x14ac:dyDescent="0.25">
      <c r="A117" t="s">
        <v>355</v>
      </c>
    </row>
    <row r="119" spans="1:1" x14ac:dyDescent="0.25">
      <c r="A119" s="24" t="s">
        <v>356</v>
      </c>
    </row>
    <row r="120" spans="1:1" x14ac:dyDescent="0.25">
      <c r="A120" t="s">
        <v>357</v>
      </c>
    </row>
    <row r="121" spans="1:1" x14ac:dyDescent="0.25">
      <c r="A121" t="s">
        <v>358</v>
      </c>
    </row>
    <row r="122" spans="1:1" x14ac:dyDescent="0.25">
      <c r="A122" t="s">
        <v>359</v>
      </c>
    </row>
    <row r="124" spans="1:1" x14ac:dyDescent="0.25">
      <c r="A124" s="24" t="s">
        <v>360</v>
      </c>
    </row>
    <row r="125" spans="1:1" x14ac:dyDescent="0.25">
      <c r="A125" t="s">
        <v>361</v>
      </c>
    </row>
    <row r="126" spans="1:1" x14ac:dyDescent="0.25">
      <c r="A126" t="s">
        <v>362</v>
      </c>
    </row>
    <row r="127" spans="1:1" x14ac:dyDescent="0.25">
      <c r="A127" t="s">
        <v>363</v>
      </c>
    </row>
    <row r="129" spans="1:1" x14ac:dyDescent="0.25">
      <c r="A129" s="24" t="s">
        <v>364</v>
      </c>
    </row>
    <row r="130" spans="1:1" x14ac:dyDescent="0.25">
      <c r="A130" t="s">
        <v>365</v>
      </c>
    </row>
    <row r="131" spans="1:1" x14ac:dyDescent="0.25">
      <c r="A131" t="s">
        <v>366</v>
      </c>
    </row>
    <row r="132" spans="1:1" x14ac:dyDescent="0.25">
      <c r="A132" t="s">
        <v>367</v>
      </c>
    </row>
    <row r="134" spans="1:1" x14ac:dyDescent="0.25">
      <c r="A134" s="24" t="s">
        <v>368</v>
      </c>
    </row>
    <row r="135" spans="1:1" x14ac:dyDescent="0.25">
      <c r="A135" t="s">
        <v>369</v>
      </c>
    </row>
    <row r="136" spans="1:1" x14ac:dyDescent="0.25">
      <c r="A136" t="s">
        <v>370</v>
      </c>
    </row>
    <row r="137" spans="1:1" x14ac:dyDescent="0.25">
      <c r="A137" t="s">
        <v>371</v>
      </c>
    </row>
    <row r="139" spans="1:1" x14ac:dyDescent="0.25">
      <c r="A139" s="24" t="s">
        <v>372</v>
      </c>
    </row>
    <row r="140" spans="1:1" x14ac:dyDescent="0.25">
      <c r="A140" t="s">
        <v>373</v>
      </c>
    </row>
    <row r="141" spans="1:1" x14ac:dyDescent="0.25">
      <c r="A141" t="s">
        <v>374</v>
      </c>
    </row>
    <row r="142" spans="1:1" x14ac:dyDescent="0.25">
      <c r="A142" t="s">
        <v>375</v>
      </c>
    </row>
    <row r="144" spans="1:1" x14ac:dyDescent="0.25">
      <c r="A144" s="24" t="s">
        <v>376</v>
      </c>
    </row>
    <row r="145" spans="1:1" x14ac:dyDescent="0.25">
      <c r="A145" t="s">
        <v>377</v>
      </c>
    </row>
    <row r="146" spans="1:1" x14ac:dyDescent="0.25">
      <c r="A146" t="s">
        <v>378</v>
      </c>
    </row>
    <row r="147" spans="1:1" x14ac:dyDescent="0.25">
      <c r="A147" t="s">
        <v>379</v>
      </c>
    </row>
    <row r="149" spans="1:1" x14ac:dyDescent="0.25">
      <c r="A149" t="s">
        <v>380</v>
      </c>
    </row>
    <row r="150" spans="1:1" x14ac:dyDescent="0.25">
      <c r="A150" t="s">
        <v>379</v>
      </c>
    </row>
    <row r="152" spans="1:1" x14ac:dyDescent="0.25">
      <c r="A152" t="s">
        <v>381</v>
      </c>
    </row>
    <row r="153" spans="1:1" x14ac:dyDescent="0.25">
      <c r="A153" t="s">
        <v>382</v>
      </c>
    </row>
    <row r="155" spans="1:1" x14ac:dyDescent="0.25">
      <c r="A155" t="s">
        <v>383</v>
      </c>
    </row>
    <row r="156" spans="1:1" x14ac:dyDescent="0.25">
      <c r="A156" t="s">
        <v>384</v>
      </c>
    </row>
    <row r="158" spans="1:1" x14ac:dyDescent="0.25">
      <c r="A158" s="50" t="s">
        <v>385</v>
      </c>
    </row>
    <row r="160" spans="1:1" x14ac:dyDescent="0.25">
      <c r="A160" s="1" t="s">
        <v>386</v>
      </c>
    </row>
    <row r="161" spans="1:1" x14ac:dyDescent="0.25">
      <c r="A161" t="s">
        <v>387</v>
      </c>
    </row>
    <row r="162" spans="1:1" x14ac:dyDescent="0.25">
      <c r="A162" t="s">
        <v>388</v>
      </c>
    </row>
    <row r="163" spans="1:1" x14ac:dyDescent="0.25">
      <c r="A163" t="s">
        <v>389</v>
      </c>
    </row>
    <row r="164" spans="1:1" x14ac:dyDescent="0.25">
      <c r="A164" t="s">
        <v>390</v>
      </c>
    </row>
    <row r="165" spans="1:1" x14ac:dyDescent="0.25">
      <c r="A165" t="s">
        <v>391</v>
      </c>
    </row>
    <row r="166" spans="1:1" x14ac:dyDescent="0.25">
      <c r="A166" t="s">
        <v>392</v>
      </c>
    </row>
    <row r="167" spans="1:1" x14ac:dyDescent="0.25">
      <c r="A167" t="s">
        <v>393</v>
      </c>
    </row>
    <row r="169" spans="1:1" x14ac:dyDescent="0.25">
      <c r="A169" s="1" t="s">
        <v>394</v>
      </c>
    </row>
    <row r="170" spans="1:1" x14ac:dyDescent="0.25">
      <c r="A170" t="s">
        <v>395</v>
      </c>
    </row>
    <row r="171" spans="1:1" x14ac:dyDescent="0.25">
      <c r="A171" t="s">
        <v>389</v>
      </c>
    </row>
    <row r="172" spans="1:1" x14ac:dyDescent="0.25">
      <c r="A172" t="s">
        <v>396</v>
      </c>
    </row>
    <row r="173" spans="1:1" x14ac:dyDescent="0.25">
      <c r="A173" t="s">
        <v>397</v>
      </c>
    </row>
    <row r="174" spans="1:1" x14ac:dyDescent="0.25">
      <c r="A174" t="s">
        <v>398</v>
      </c>
    </row>
    <row r="175" spans="1:1" x14ac:dyDescent="0.25">
      <c r="A175" t="s">
        <v>399</v>
      </c>
    </row>
    <row r="176" spans="1:1" x14ac:dyDescent="0.25">
      <c r="A176" t="s">
        <v>400</v>
      </c>
    </row>
    <row r="178" spans="1:1" x14ac:dyDescent="0.25">
      <c r="A178" s="1" t="s">
        <v>401</v>
      </c>
    </row>
    <row r="179" spans="1:1" x14ac:dyDescent="0.25">
      <c r="A179" t="s">
        <v>402</v>
      </c>
    </row>
    <row r="180" spans="1:1" x14ac:dyDescent="0.25">
      <c r="A180" t="s">
        <v>389</v>
      </c>
    </row>
    <row r="181" spans="1:1" x14ac:dyDescent="0.25">
      <c r="A181" t="s">
        <v>403</v>
      </c>
    </row>
    <row r="182" spans="1:1" x14ac:dyDescent="0.25">
      <c r="A182" t="s">
        <v>404</v>
      </c>
    </row>
    <row r="183" spans="1:1" x14ac:dyDescent="0.25">
      <c r="A183" t="s">
        <v>405</v>
      </c>
    </row>
    <row r="184" spans="1:1" x14ac:dyDescent="0.25">
      <c r="A184" t="s">
        <v>406</v>
      </c>
    </row>
    <row r="186" spans="1:1" x14ac:dyDescent="0.25">
      <c r="A186" s="1" t="s">
        <v>407</v>
      </c>
    </row>
    <row r="187" spans="1:1" x14ac:dyDescent="0.25">
      <c r="A187" t="s">
        <v>408</v>
      </c>
    </row>
    <row r="188" spans="1:1" x14ac:dyDescent="0.25">
      <c r="A188" t="s">
        <v>409</v>
      </c>
    </row>
    <row r="189" spans="1:1" x14ac:dyDescent="0.25">
      <c r="A189" t="s">
        <v>410</v>
      </c>
    </row>
    <row r="190" spans="1:1" x14ac:dyDescent="0.25">
      <c r="A190" t="s">
        <v>411</v>
      </c>
    </row>
    <row r="191" spans="1:1" x14ac:dyDescent="0.25">
      <c r="A191" t="s">
        <v>412</v>
      </c>
    </row>
    <row r="193" spans="1:1" x14ac:dyDescent="0.25">
      <c r="A193" s="50" t="s">
        <v>413</v>
      </c>
    </row>
    <row r="194" spans="1:1" x14ac:dyDescent="0.25">
      <c r="A194" t="s">
        <v>414</v>
      </c>
    </row>
    <row r="195" spans="1:1" x14ac:dyDescent="0.25">
      <c r="A195" t="s">
        <v>415</v>
      </c>
    </row>
    <row r="196" spans="1:1" x14ac:dyDescent="0.25">
      <c r="A196" t="s">
        <v>416</v>
      </c>
    </row>
    <row r="197" spans="1:1" x14ac:dyDescent="0.25">
      <c r="A197" t="s">
        <v>417</v>
      </c>
    </row>
    <row r="198" spans="1:1" x14ac:dyDescent="0.25">
      <c r="A198" t="s">
        <v>418</v>
      </c>
    </row>
    <row r="199" spans="1:1" x14ac:dyDescent="0.25">
      <c r="A199" t="s">
        <v>419</v>
      </c>
    </row>
    <row r="201" spans="1:1" x14ac:dyDescent="0.25">
      <c r="A201" s="48" t="s">
        <v>265</v>
      </c>
    </row>
    <row r="202" spans="1:1" ht="15.75" x14ac:dyDescent="0.25">
      <c r="A202" s="49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🔧 Хэвлэл Админ</vt:lpstr>
      <vt:lpstr>🔧 Хаяг Админ</vt:lpstr>
      <vt:lpstr>⚡ Хэвлэл Тооцоолуур</vt:lpstr>
      <vt:lpstr>⚡ Хаяг Тооцоолуур</vt:lpstr>
      <vt:lpstr>📒 Захиалгын Түүх</vt:lpstr>
      <vt:lpstr>📋 Промпт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Munkhbat Bayanmunkh</dc:creator>
  <cp:lastModifiedBy>Munkhbat Bayanmunkh</cp:lastModifiedBy>
  <dcterms:created xsi:type="dcterms:W3CDTF">2026-04-13T06:40:56Z</dcterms:created>
  <dcterms:modified xsi:type="dcterms:W3CDTF">2026-04-15T01:53:44Z</dcterms:modified>
</cp:coreProperties>
</file>